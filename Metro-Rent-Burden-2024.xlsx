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4de5d5fd8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os" sheetId="1" r:id="Rb476f429f27a4dcc"/>
    <x:sheet xmlns:r="http://schemas.openxmlformats.org/officeDocument/2006/relationships" name="Source" sheetId="2" r:id="R25df49a287ab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"/>
    <x:numFmt numFmtId="203" formatCode="#,##0.######"/>
  </x:numFmts>
  <x:fonts count="4">
    <x:font>
      <x:sz val="11"/>
      <x:name val="Carlito"/>
    </x:font>
    <x:font>
      <x:sz val="11"/>
      <x:color rgb="FF172C38"/>
      <x:name val="Arial"/>
    </x:font>
    <x:font>
      <x:b/>
      <x:sz val="16"/>
      <x:color rgb="FF172C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5A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8b395aaf14579" /><Relationship Type="http://schemas.openxmlformats.org/officeDocument/2006/relationships/theme" Target="/xl/theme/theme1.xml" Id="R15b4d5c614ec46a4" /><Relationship Type="http://schemas.openxmlformats.org/officeDocument/2006/relationships/sharedStrings" Target="/xl/sharedStrings.xml" Id="Rf4b3e81828344a48" /><Relationship Type="http://schemas.openxmlformats.org/officeDocument/2006/relationships/worksheet" Target="/xl/worksheets/sheet1.xml" Id="Rb476f429f27a4dcc" /><Relationship Type="http://schemas.openxmlformats.org/officeDocument/2006/relationships/worksheet" Target="/xl/worksheets/sheet2.xml" Id="R25df49a287ab4eac" /></Relationships>
</file>

<file path=xl/tables/table1.xml><?xml version="1.0" encoding="utf-8"?>
<x:table xmlns:x="http://schemas.openxmlformats.org/spreadsheetml/2006/main" id="1" name="MetroRentBurden" displayName="MetroRentBurden" ref="A9:K395" headerRowCount="1" totalsRowCount="0" totalsRowShown="0">
  <x:autoFilter ref="A9:K395"/>
  <x:tableColumns count="11">
    <x:tableColumn id="1" name="Metro area"/>
    <x:tableColumn id="2" name="CBSA code"/>
    <x:tableColumn id="3" name="Survey year"/>
    <x:tableColumn id="4" name="Renter units total"/>
    <x:tableColumn id="5" name="Not computed units"/>
    <x:tableColumn id="6" name="Computable units"/>
    <x:tableColumn id="7" name="30%+ units"/>
    <x:tableColumn id="8" name="50%+ units"/>
    <x:tableColumn id="9" name="30%+ share"/>
    <x:tableColumn id="10" name="50%+ share"/>
    <x:tableColumn id="11" name="Not computed / al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napshot" displayName="SourceSnapshot" ref="A16:AI402" headerRowCount="1" totalsRowCount="0" totalsRowShown="0">
  <x:autoFilter ref="A16:AI402"/>
  <x:tableColumns count="35">
    <x:tableColumn id="1" name="geo_id"/>
    <x:tableColumn id="2" name="cbsa_code"/>
    <x:tableColumn id="3" name="metro_name"/>
    <x:tableColumn id="4" name="survey_year"/>
    <x:tableColumn id="5" name="status"/>
    <x:tableColumn id="6" name="renter_units_total"/>
    <x:tableColumn id="7" name="not_computed_units"/>
    <x:tableColumn id="8" name="computable_units"/>
    <x:tableColumn id="9" name="rent_30plus_units"/>
    <x:tableColumn id="10" name="rent_50plus_units"/>
    <x:tableColumn id="11" name="rent_30plus_pct"/>
    <x:tableColumn id="12" name="rent_50plus_pct"/>
    <x:tableColumn id="13" name="not_computed_pct_all_renters"/>
    <x:tableColumn id="14" name="B25070_E001"/>
    <x:tableColumn id="15" name="B25070_M001"/>
    <x:tableColumn id="16" name="B25070_E002"/>
    <x:tableColumn id="17" name="B25070_M002"/>
    <x:tableColumn id="18" name="B25070_E003"/>
    <x:tableColumn id="19" name="B25070_M003"/>
    <x:tableColumn id="20" name="B25070_E004"/>
    <x:tableColumn id="21" name="B25070_M004"/>
    <x:tableColumn id="22" name="B25070_E005"/>
    <x:tableColumn id="23" name="B25070_M005"/>
    <x:tableColumn id="24" name="B25070_E006"/>
    <x:tableColumn id="25" name="B25070_M006"/>
    <x:tableColumn id="26" name="B25070_E007"/>
    <x:tableColumn id="27" name="B25070_M007"/>
    <x:tableColumn id="28" name="B25070_E008"/>
    <x:tableColumn id="29" name="B25070_M008"/>
    <x:tableColumn id="30" name="B25070_E009"/>
    <x:tableColumn id="31" name="B25070_M009"/>
    <x:tableColumn id="32" name="B25070_E010"/>
    <x:tableColumn id="33" name="B25070_M010"/>
    <x:tableColumn id="34" name="B25070_E011"/>
    <x:tableColumn id="35" name="B25070_M01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0d92aac1154c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e9b242466349d1" /></Relationships>
</file>

<file path=xl/worksheets/sheet1.xml><?xml version="1.0" encoding="utf-8"?>
<x:worksheet xmlns:x="http://schemas.openxmlformats.org/spreadsheetml/2006/main">
  <x:sheetPr>
    <x:tabColor rgb="FF235A64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65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ACS 2024 metro rent burden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 t="str">
        <x:v>Analysis by Ahmadreza Samadi. Prepared with AI assistance.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 t="str">
        <x:v>386 whole US metros. Use the header filters to find or sort a metro.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2" customHeight="1">
      <x:c r="A5" s="1" t="str">
        <x:v>30%/50% refer to gross rent / household income. Shares exclude not-computed units. The groups overlap.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2" customHeight="1">
      <x:c r="A6" s="1" t="str">
        <x:v>Survey estimates. No percentage MOEs or significance ranking. Not current rents or investment yields.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22" customHeight="1">
      <x:c r="A7" s="1" t="str">
        <x:v>Source sheet: original CSV fields, definitions, provenance and reuse limits.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38" customHeight="1">
      <x:c r="A9" s="14" t="str">
        <x:v>Metro area</x:v>
      </x:c>
      <x:c r="B9" s="14" t="str">
        <x:v>CBSA code</x:v>
      </x:c>
      <x:c r="C9" s="14" t="str">
        <x:v>Survey year</x:v>
      </x:c>
      <x:c r="D9" s="14" t="str">
        <x:v>Renter units total</x:v>
      </x:c>
      <x:c r="E9" s="14" t="str">
        <x:v>Not computed units</x:v>
      </x:c>
      <x:c r="F9" s="14" t="str">
        <x:v>Computable units</x:v>
      </x:c>
      <x:c r="G9" s="14" t="str">
        <x:v>30%+ units</x:v>
      </x:c>
      <x:c r="H9" s="14" t="str">
        <x:v>50%+ units</x:v>
      </x:c>
      <x:c r="I9" s="14" t="str">
        <x:v>30%+ share</x:v>
      </x:c>
      <x:c r="J9" s="14" t="str">
        <x:v>50%+ share</x:v>
      </x:c>
      <x:c r="K9" s="14" t="str">
        <x:v>Not computed / all</x:v>
      </x:c>
    </x:row>
    <x:row r="10" ht="22" customHeight="1">
      <x:c r="A10" s="6" t="str">
        <x:f>'Source'!$C$17</x:f>
        <x:v>Abilene, TX Metro Area</x:v>
      </x:c>
      <x:c r="B10" s="6" t="str">
        <x:f>'Source'!$B$17</x:f>
        <x:v>10180</x:v>
      </x:c>
      <x:c r="C10" s="7" t="n">
        <x:f>'Source'!$D$17</x:f>
        <x:v>2024</x:v>
      </x:c>
      <x:c r="D10" s="8" t="n">
        <x:f>'Source'!$N$17</x:f>
        <x:v>23433</x:v>
      </x:c>
      <x:c r="E10" s="8" t="n">
        <x:f>'Source'!$AH$17</x:f>
        <x:v>2591</x:v>
      </x:c>
      <x:c r="F10" s="8" t="n">
        <x:f>D10-E10</x:f>
        <x:v>20842</x:v>
      </x:c>
      <x:c r="G10" s="8" t="n">
        <x:f>SUM('Source'!$Z$17,'Source'!$AB$17,'Source'!$AD$17,'Source'!$AF$17)</x:f>
        <x:v>12055</x:v>
      </x:c>
      <x:c r="H10" s="8" t="n">
        <x:f>'Source'!$AF$17</x:f>
        <x:v>5688</x:v>
      </x:c>
      <x:c r="I10" s="9" t="n">
        <x:f>IF(F10=0,"n.a.",G10/F10)</x:f>
        <x:v>0.5783993858554841</x:v>
      </x:c>
      <x:c r="J10" s="9" t="n">
        <x:f>IF(F10=0,"n.a.",H10/F10)</x:f>
        <x:v>0.2729104692447942</x:v>
      </x:c>
      <x:c r="K10" s="9" t="n">
        <x:f>IF(D10=0,"n.a.",E10/D10)</x:f>
        <x:v>0.11057056288140657</x:v>
      </x:c>
    </x:row>
    <x:row r="11" ht="22" customHeight="1">
      <x:c r="A11" s="6" t="str">
        <x:f>'Source'!$C$18</x:f>
        <x:v>Akron, OH Metro Area</x:v>
      </x:c>
      <x:c r="B11" s="6" t="str">
        <x:f>'Source'!$B$18</x:f>
        <x:v>10420</x:v>
      </x:c>
      <x:c r="C11" s="7" t="n">
        <x:f>'Source'!$D$18</x:f>
        <x:v>2024</x:v>
      </x:c>
      <x:c r="D11" s="8" t="n">
        <x:f>'Source'!$N$18</x:f>
        <x:v>96296</x:v>
      </x:c>
      <x:c r="E11" s="8" t="n">
        <x:f>'Source'!$AH$18</x:f>
        <x:v>5939</x:v>
      </x:c>
      <x:c r="F11" s="8" t="n">
        <x:f>D11-E11</x:f>
        <x:v>90357</x:v>
      </x:c>
      <x:c r="G11" s="8" t="n">
        <x:f>SUM('Source'!$Z$18,'Source'!$AB$18,'Source'!$AD$18,'Source'!$AF$18)</x:f>
        <x:v>43847</x:v>
      </x:c>
      <x:c r="H11" s="8" t="n">
        <x:f>'Source'!$AF$18</x:f>
        <x:v>25261</x:v>
      </x:c>
      <x:c r="I11" s="9" t="n">
        <x:f>IF(F11=0,"n.a.",G11/F11)</x:f>
        <x:v>0.4852640083225428</x:v>
      </x:c>
      <x:c r="J11" s="9" t="n">
        <x:f>IF(F11=0,"n.a.",H11/F11)</x:f>
        <x:v>0.27956882145268214</x:v>
      </x:c>
      <x:c r="K11" s="9" t="n">
        <x:f>IF(D11=0,"n.a.",E11/D11)</x:f>
        <x:v>0.06167442053667858</x:v>
      </x:c>
    </x:row>
    <x:row r="12" ht="22" customHeight="1">
      <x:c r="A12" s="6" t="str">
        <x:f>'Source'!$C$19</x:f>
        <x:v>Albany, GA Metro Area</x:v>
      </x:c>
      <x:c r="B12" s="6" t="str">
        <x:f>'Source'!$B$19</x:f>
        <x:v>10500</x:v>
      </x:c>
      <x:c r="C12" s="7" t="n">
        <x:f>'Source'!$D$19</x:f>
        <x:v>2024</x:v>
      </x:c>
      <x:c r="D12" s="8" t="n">
        <x:f>'Source'!$N$19</x:f>
        <x:v>25931</x:v>
      </x:c>
      <x:c r="E12" s="8" t="n">
        <x:f>'Source'!$AH$19</x:f>
        <x:v>2590</x:v>
      </x:c>
      <x:c r="F12" s="8" t="n">
        <x:f>D12-E12</x:f>
        <x:v>23341</x:v>
      </x:c>
      <x:c r="G12" s="8" t="n">
        <x:f>SUM('Source'!$Z$19,'Source'!$AB$19,'Source'!$AD$19,'Source'!$AF$19)</x:f>
        <x:v>11703</x:v>
      </x:c>
      <x:c r="H12" s="8" t="n">
        <x:f>'Source'!$AF$19</x:f>
        <x:v>6674</x:v>
      </x:c>
      <x:c r="I12" s="9" t="n">
        <x:f>IF(F12=0,"n.a.",G12/F12)</x:f>
        <x:v>0.5013923996401183</x:v>
      </x:c>
      <x:c r="J12" s="9" t="n">
        <x:f>IF(F12=0,"n.a.",H12/F12)</x:f>
        <x:v>0.2859346214815132</x:v>
      </x:c>
      <x:c r="K12" s="9" t="n">
        <x:f>IF(D12=0,"n.a.",E12/D12)</x:f>
        <x:v>0.09988045196868613</x:v>
      </x:c>
    </x:row>
    <x:row r="13" ht="22" customHeight="1">
      <x:c r="A13" s="6" t="str">
        <x:f>'Source'!$C$20</x:f>
        <x:v>Albany, OR Metro Area</x:v>
      </x:c>
      <x:c r="B13" s="6" t="str">
        <x:f>'Source'!$B$20</x:f>
        <x:v>10540</x:v>
      </x:c>
      <x:c r="C13" s="7" t="n">
        <x:f>'Source'!$D$20</x:f>
        <x:v>2024</x:v>
      </x:c>
      <x:c r="D13" s="8" t="n">
        <x:f>'Source'!$N$20</x:f>
        <x:v>16930</x:v>
      </x:c>
      <x:c r="E13" s="8" t="n">
        <x:f>'Source'!$AH$20</x:f>
        <x:v>1138</x:v>
      </x:c>
      <x:c r="F13" s="8" t="n">
        <x:f>D13-E13</x:f>
        <x:v>15792</x:v>
      </x:c>
      <x:c r="G13" s="8" t="n">
        <x:f>SUM('Source'!$Z$20,'Source'!$AB$20,'Source'!$AD$20,'Source'!$AF$20)</x:f>
        <x:v>8245</x:v>
      </x:c>
      <x:c r="H13" s="8" t="n">
        <x:f>'Source'!$AF$20</x:f>
        <x:v>4829</x:v>
      </x:c>
      <x:c r="I13" s="9" t="n">
        <x:f>IF(F13=0,"n.a.",G13/F13)</x:f>
        <x:v>0.5220997973657548</x:v>
      </x:c>
      <x:c r="J13" s="9" t="n">
        <x:f>IF(F13=0,"n.a.",H13/F13)</x:f>
        <x:v>0.30578774062816616</x:v>
      </x:c>
      <x:c r="K13" s="9" t="n">
        <x:f>IF(D13=0,"n.a.",E13/D13)</x:f>
        <x:v>0.0672179562906084</x:v>
      </x:c>
    </x:row>
    <x:row r="14" ht="22" customHeight="1">
      <x:c r="A14" s="6" t="str">
        <x:f>'Source'!$C$21</x:f>
        <x:v>Albany-Schenectady-Troy, NY Metro Area</x:v>
      </x:c>
      <x:c r="B14" s="6" t="str">
        <x:f>'Source'!$B$21</x:f>
        <x:v>10580</x:v>
      </x:c>
      <x:c r="C14" s="7" t="n">
        <x:f>'Source'!$D$21</x:f>
        <x:v>2024</x:v>
      </x:c>
      <x:c r="D14" s="8" t="n">
        <x:f>'Source'!$N$21</x:f>
        <x:v>143444</x:v>
      </x:c>
      <x:c r="E14" s="8" t="n">
        <x:f>'Source'!$AH$21</x:f>
        <x:v>6995</x:v>
      </x:c>
      <x:c r="F14" s="8" t="n">
        <x:f>D14-E14</x:f>
        <x:v>136449</x:v>
      </x:c>
      <x:c r="G14" s="8" t="n">
        <x:f>SUM('Source'!$Z$21,'Source'!$AB$21,'Source'!$AD$21,'Source'!$AF$21)</x:f>
        <x:v>67545</x:v>
      </x:c>
      <x:c r="H14" s="8" t="n">
        <x:f>'Source'!$AF$21</x:f>
        <x:v>36445</x:v>
      </x:c>
      <x:c r="I14" s="9" t="n">
        <x:f>IF(F14=0,"n.a.",G14/F14)</x:f>
        <x:v>0.49502011740650353</x:v>
      </x:c>
      <x:c r="J14" s="9" t="n">
        <x:f>IF(F14=0,"n.a.",H14/F14)</x:f>
        <x:v>0.2670961311552302</x:v>
      </x:c>
      <x:c r="K14" s="9" t="n">
        <x:f>IF(D14=0,"n.a.",E14/D14)</x:f>
        <x:v>0.04876467471626558</x:v>
      </x:c>
    </x:row>
    <x:row r="15" ht="22" customHeight="1">
      <x:c r="A15" s="6" t="str">
        <x:f>'Source'!$C$22</x:f>
        <x:v>Albuquerque, NM Metro Area</x:v>
      </x:c>
      <x:c r="B15" s="6" t="str">
        <x:f>'Source'!$B$22</x:f>
        <x:v>10740</x:v>
      </x:c>
      <x:c r="C15" s="7" t="n">
        <x:f>'Source'!$D$22</x:f>
        <x:v>2024</x:v>
      </x:c>
      <x:c r="D15" s="8" t="n">
        <x:f>'Source'!$N$22</x:f>
        <x:v>113910</x:v>
      </x:c>
      <x:c r="E15" s="8" t="n">
        <x:f>'Source'!$AH$22</x:f>
        <x:v>6528</x:v>
      </x:c>
      <x:c r="F15" s="8" t="n">
        <x:f>D15-E15</x:f>
        <x:v>107382</x:v>
      </x:c>
      <x:c r="G15" s="8" t="n">
        <x:f>SUM('Source'!$Z$22,'Source'!$AB$22,'Source'!$AD$22,'Source'!$AF$22)</x:f>
        <x:v>52411</x:v>
      </x:c>
      <x:c r="H15" s="8" t="n">
        <x:f>'Source'!$AF$22</x:f>
        <x:v>27985</x:v>
      </x:c>
      <x:c r="I15" s="9" t="n">
        <x:f>IF(F15=0,"n.a.",G15/F15)</x:f>
        <x:v>0.48807993890968693</x:v>
      </x:c>
      <x:c r="J15" s="9" t="n">
        <x:f>IF(F15=0,"n.a.",H15/F15)</x:f>
        <x:v>0.26061164813469667</x:v>
      </x:c>
      <x:c r="K15" s="9" t="n">
        <x:f>IF(D15=0,"n.a.",E15/D15)</x:f>
        <x:v>0.057308401369502236</x:v>
      </x:c>
    </x:row>
    <x:row r="16" ht="22" customHeight="1">
      <x:c r="A16" s="6" t="str">
        <x:f>'Source'!$C$23</x:f>
        <x:v>Alexandria, LA Metro Area</x:v>
      </x:c>
      <x:c r="B16" s="6" t="str">
        <x:f>'Source'!$B$23</x:f>
        <x:v>10780</x:v>
      </x:c>
      <x:c r="C16" s="7" t="n">
        <x:f>'Source'!$D$23</x:f>
        <x:v>2024</x:v>
      </x:c>
      <x:c r="D16" s="8" t="n">
        <x:f>'Source'!$N$23</x:f>
        <x:v>19073</x:v>
      </x:c>
      <x:c r="E16" s="8" t="n">
        <x:f>'Source'!$AH$23</x:f>
        <x:v>3387</x:v>
      </x:c>
      <x:c r="F16" s="8" t="n">
        <x:f>D16-E16</x:f>
        <x:v>15686</x:v>
      </x:c>
      <x:c r="G16" s="8" t="n">
        <x:f>SUM('Source'!$Z$23,'Source'!$AB$23,'Source'!$AD$23,'Source'!$AF$23)</x:f>
        <x:v>8155</x:v>
      </x:c>
      <x:c r="H16" s="8" t="n">
        <x:f>'Source'!$AF$23</x:f>
        <x:v>3633</x:v>
      </x:c>
      <x:c r="I16" s="9" t="n">
        <x:f>IF(F16=0,"n.a.",G16/F16)</x:f>
        <x:v>0.5198903480810915</x:v>
      </x:c>
      <x:c r="J16" s="9" t="n">
        <x:f>IF(F16=0,"n.a.",H16/F16)</x:f>
        <x:v>0.23160780313655488</x:v>
      </x:c>
      <x:c r="K16" s="9" t="n">
        <x:f>IF(D16=0,"n.a.",E16/D16)</x:f>
        <x:v>0.1775808734860798</x:v>
      </x:c>
    </x:row>
    <x:row r="17" ht="22" customHeight="1">
      <x:c r="A17" s="6" t="str">
        <x:f>'Source'!$C$24</x:f>
        <x:v>Allentown-Bethlehem-Easton, PA-NJ Metro Area</x:v>
      </x:c>
      <x:c r="B17" s="6" t="str">
        <x:f>'Source'!$B$24</x:f>
        <x:v>10900</x:v>
      </x:c>
      <x:c r="C17" s="7" t="n">
        <x:f>'Source'!$D$24</x:f>
        <x:v>2024</x:v>
      </x:c>
      <x:c r="D17" s="8" t="n">
        <x:f>'Source'!$N$24</x:f>
        <x:v>103084</x:v>
      </x:c>
      <x:c r="E17" s="8" t="n">
        <x:f>'Source'!$AH$24</x:f>
        <x:v>4935</x:v>
      </x:c>
      <x:c r="F17" s="8" t="n">
        <x:f>D17-E17</x:f>
        <x:v>98149</x:v>
      </x:c>
      <x:c r="G17" s="8" t="n">
        <x:f>SUM('Source'!$Z$24,'Source'!$AB$24,'Source'!$AD$24,'Source'!$AF$24)</x:f>
        <x:v>53291</x:v>
      </x:c>
      <x:c r="H17" s="8" t="n">
        <x:f>'Source'!$AF$24</x:f>
        <x:v>25573</x:v>
      </x:c>
      <x:c r="I17" s="9" t="n">
        <x:f>IF(F17=0,"n.a.",G17/F17)</x:f>
        <x:v>0.5429601931756819</x:v>
      </x:c>
      <x:c r="J17" s="9" t="n">
        <x:f>IF(F17=0,"n.a.",H17/F17)</x:f>
        <x:v>0.2605528329376764</x:v>
      </x:c>
      <x:c r="K17" s="9" t="n">
        <x:f>IF(D17=0,"n.a.",E17/D17)</x:f>
        <x:v>0.04787357882891622</x:v>
      </x:c>
    </x:row>
    <x:row r="18" ht="22" customHeight="1">
      <x:c r="A18" s="6" t="str">
        <x:f>'Source'!$C$25</x:f>
        <x:v>Altoona, PA Metro Area</x:v>
      </x:c>
      <x:c r="B18" s="6" t="str">
        <x:f>'Source'!$B$25</x:f>
        <x:v>11020</x:v>
      </x:c>
      <x:c r="C18" s="7" t="n">
        <x:f>'Source'!$D$25</x:f>
        <x:v>2024</x:v>
      </x:c>
      <x:c r="D18" s="8" t="n">
        <x:f>'Source'!$N$25</x:f>
        <x:v>14298</x:v>
      </x:c>
      <x:c r="E18" s="8" t="n">
        <x:f>'Source'!$AH$25</x:f>
        <x:v>910</x:v>
      </x:c>
      <x:c r="F18" s="8" t="n">
        <x:f>D18-E18</x:f>
        <x:v>13388</x:v>
      </x:c>
      <x:c r="G18" s="8" t="n">
        <x:f>SUM('Source'!$Z$25,'Source'!$AB$25,'Source'!$AD$25,'Source'!$AF$25)</x:f>
        <x:v>6031</x:v>
      </x:c>
      <x:c r="H18" s="8" t="n">
        <x:f>'Source'!$AF$25</x:f>
        <x:v>2782</x:v>
      </x:c>
      <x:c r="I18" s="9" t="n">
        <x:f>IF(F18=0,"n.a.",G18/F18)</x:f>
        <x:v>0.450478040035853</x:v>
      </x:c>
      <x:c r="J18" s="9" t="n">
        <x:f>IF(F18=0,"n.a.",H18/F18)</x:f>
        <x:v>0.2077980280848521</x:v>
      </x:c>
      <x:c r="K18" s="9" t="n">
        <x:f>IF(D18=0,"n.a.",E18/D18)</x:f>
        <x:v>0.06364526507203805</x:v>
      </x:c>
    </x:row>
    <x:row r="19" ht="22" customHeight="1">
      <x:c r="A19" s="6" t="str">
        <x:f>'Source'!$C$26</x:f>
        <x:v>Amarillo, TX Metro Area</x:v>
      </x:c>
      <x:c r="B19" s="6" t="str">
        <x:f>'Source'!$B$26</x:f>
        <x:v>11100</x:v>
      </x:c>
      <x:c r="C19" s="7" t="n">
        <x:f>'Source'!$D$26</x:f>
        <x:v>2024</x:v>
      </x:c>
      <x:c r="D19" s="8" t="n">
        <x:f>'Source'!$N$26</x:f>
        <x:v>40464</x:v>
      </x:c>
      <x:c r="E19" s="8" t="n">
        <x:f>'Source'!$AH$26</x:f>
        <x:v>2549</x:v>
      </x:c>
      <x:c r="F19" s="8" t="n">
        <x:f>D19-E19</x:f>
        <x:v>37915</x:v>
      </x:c>
      <x:c r="G19" s="8" t="n">
        <x:f>SUM('Source'!$Z$26,'Source'!$AB$26,'Source'!$AD$26,'Source'!$AF$26)</x:f>
        <x:v>19135</x:v>
      </x:c>
      <x:c r="H19" s="8" t="n">
        <x:f>'Source'!$AF$26</x:f>
        <x:v>8907</x:v>
      </x:c>
      <x:c r="I19" s="9" t="n">
        <x:f>IF(F19=0,"n.a.",G19/F19)</x:f>
        <x:v>0.5046815244626137</x:v>
      </x:c>
      <x:c r="J19" s="9" t="n">
        <x:f>IF(F19=0,"n.a.",H19/F19)</x:f>
        <x:v>0.23492021627324278</x:v>
      </x:c>
      <x:c r="K19" s="9" t="n">
        <x:f>IF(D19=0,"n.a.",E19/D19)</x:f>
        <x:v>0.06299426650850139</x:v>
      </x:c>
    </x:row>
    <x:row r="20" ht="22" customHeight="1">
      <x:c r="A20" s="6" t="str">
        <x:f>'Source'!$C$27</x:f>
        <x:v>Ames, IA Metro Area</x:v>
      </x:c>
      <x:c r="B20" s="6" t="str">
        <x:f>'Source'!$B$27</x:f>
        <x:v>11180</x:v>
      </x:c>
      <x:c r="C20" s="7" t="n">
        <x:f>'Source'!$D$27</x:f>
        <x:v>2024</x:v>
      </x:c>
      <x:c r="D20" s="8" t="n">
        <x:f>'Source'!$N$27</x:f>
        <x:v>21101</x:v>
      </x:c>
      <x:c r="E20" s="8" t="n">
        <x:f>'Source'!$AH$27</x:f>
        <x:v>830</x:v>
      </x:c>
      <x:c r="F20" s="8" t="n">
        <x:f>D20-E20</x:f>
        <x:v>20271</x:v>
      </x:c>
      <x:c r="G20" s="8" t="n">
        <x:f>SUM('Source'!$Z$27,'Source'!$AB$27,'Source'!$AD$27,'Source'!$AF$27)</x:f>
        <x:v>8775</x:v>
      </x:c>
      <x:c r="H20" s="8" t="n">
        <x:f>'Source'!$AF$27</x:f>
        <x:v>3658</x:v>
      </x:c>
      <x:c r="I20" s="9" t="n">
        <x:f>IF(F20=0,"n.a.",G20/F20)</x:f>
        <x:v>0.4328844161610182</x:v>
      </x:c>
      <x:c r="J20" s="9" t="n">
        <x:f>IF(F20=0,"n.a.",H20/F20)</x:f>
        <x:v>0.1804548369592028</x:v>
      </x:c>
      <x:c r="K20" s="9" t="n">
        <x:f>IF(D20=0,"n.a.",E20/D20)</x:f>
        <x:v>0.039334628690583386</x:v>
      </x:c>
    </x:row>
    <x:row r="21" ht="22" customHeight="1">
      <x:c r="A21" s="6" t="str">
        <x:f>'Source'!$C$28</x:f>
        <x:v>Amherst Town-Northampton, MA Metro Area</x:v>
      </x:c>
      <x:c r="B21" s="6" t="str">
        <x:f>'Source'!$B$28</x:f>
        <x:v>11200</x:v>
      </x:c>
      <x:c r="C21" s="7" t="n">
        <x:f>'Source'!$D$28</x:f>
        <x:v>2024</x:v>
      </x:c>
      <x:c r="D21" s="8" t="n">
        <x:f>'Source'!$N$28</x:f>
        <x:v>21477</x:v>
      </x:c>
      <x:c r="E21" s="8" t="n">
        <x:f>'Source'!$AH$28</x:f>
        <x:v>1156</x:v>
      </x:c>
      <x:c r="F21" s="8" t="n">
        <x:f>D21-E21</x:f>
        <x:v>20321</x:v>
      </x:c>
      <x:c r="G21" s="8" t="n">
        <x:f>SUM('Source'!$Z$28,'Source'!$AB$28,'Source'!$AD$28,'Source'!$AF$28)</x:f>
        <x:v>12526</x:v>
      </x:c>
      <x:c r="H21" s="8" t="n">
        <x:f>'Source'!$AF$28</x:f>
        <x:v>6463</x:v>
      </x:c>
      <x:c r="I21" s="9" t="n">
        <x:f>IF(F21=0,"n.a.",G21/F21)</x:f>
        <x:v>0.6164066728999558</x:v>
      </x:c>
      <x:c r="J21" s="9" t="n">
        <x:f>IF(F21=0,"n.a.",H21/F21)</x:f>
        <x:v>0.3180453717828847</x:v>
      </x:c>
      <x:c r="K21" s="9" t="n">
        <x:f>IF(D21=0,"n.a.",E21/D21)</x:f>
        <x:v>0.05382502211668296</x:v>
      </x:c>
    </x:row>
    <x:row r="22" ht="22" customHeight="1">
      <x:c r="A22" s="6" t="str">
        <x:f>'Source'!$C$29</x:f>
        <x:v>Anchorage, AK Metro Area</x:v>
      </x:c>
      <x:c r="B22" s="6" t="str">
        <x:f>'Source'!$B$29</x:f>
        <x:v>11260</x:v>
      </x:c>
      <x:c r="C22" s="7" t="n">
        <x:f>'Source'!$D$29</x:f>
        <x:v>2024</x:v>
      </x:c>
      <x:c r="D22" s="8" t="n">
        <x:f>'Source'!$N$29</x:f>
        <x:v>49513</x:v>
      </x:c>
      <x:c r="E22" s="8" t="n">
        <x:f>'Source'!$AH$29</x:f>
        <x:v>3074</x:v>
      </x:c>
      <x:c r="F22" s="8" t="n">
        <x:f>D22-E22</x:f>
        <x:v>46439</x:v>
      </x:c>
      <x:c r="G22" s="8" t="n">
        <x:f>SUM('Source'!$Z$29,'Source'!$AB$29,'Source'!$AD$29,'Source'!$AF$29)</x:f>
        <x:v>19263</x:v>
      </x:c>
      <x:c r="H22" s="8" t="n">
        <x:f>'Source'!$AF$29</x:f>
        <x:v>9588</x:v>
      </x:c>
      <x:c r="I22" s="9" t="n">
        <x:f>IF(F22=0,"n.a.",G22/F22)</x:f>
        <x:v>0.41480221365662484</x:v>
      </x:c>
      <x:c r="J22" s="9" t="n">
        <x:f>IF(F22=0,"n.a.",H22/F22)</x:f>
        <x:v>0.20646439415146753</x:v>
      </x:c>
      <x:c r="K22" s="9" t="n">
        <x:f>IF(D22=0,"n.a.",E22/D22)</x:f>
        <x:v>0.06208470502696262</x:v>
      </x:c>
    </x:row>
    <x:row r="23" ht="22" customHeight="1">
      <x:c r="A23" s="6" t="str">
        <x:f>'Source'!$C$30</x:f>
        <x:v>Ann Arbor, MI Metro Area</x:v>
      </x:c>
      <x:c r="B23" s="6" t="str">
        <x:f>'Source'!$B$30</x:f>
        <x:v>11460</x:v>
      </x:c>
      <x:c r="C23" s="7" t="n">
        <x:f>'Source'!$D$30</x:f>
        <x:v>2024</x:v>
      </x:c>
      <x:c r="D23" s="8" t="n">
        <x:f>'Source'!$N$30</x:f>
        <x:v>56111</x:v>
      </x:c>
      <x:c r="E23" s="8" t="n">
        <x:f>'Source'!$AH$30</x:f>
        <x:v>2984</x:v>
      </x:c>
      <x:c r="F23" s="8" t="n">
        <x:f>D23-E23</x:f>
        <x:v>53127</x:v>
      </x:c>
      <x:c r="G23" s="8" t="n">
        <x:f>SUM('Source'!$Z$30,'Source'!$AB$30,'Source'!$AD$30,'Source'!$AF$30)</x:f>
        <x:v>31165</x:v>
      </x:c>
      <x:c r="H23" s="8" t="n">
        <x:f>'Source'!$AF$30</x:f>
        <x:v>17503</x:v>
      </x:c>
      <x:c r="I23" s="9" t="n">
        <x:f>IF(F23=0,"n.a.",G23/F23)</x:f>
        <x:v>0.5866132098556289</x:v>
      </x:c>
      <x:c r="J23" s="9" t="n">
        <x:f>IF(F23=0,"n.a.",H23/F23)</x:f>
        <x:v>0.32945583225102115</x:v>
      </x:c>
      <x:c r="K23" s="9" t="n">
        <x:f>IF(D23=0,"n.a.",E23/D23)</x:f>
        <x:v>0.05318030332733332</x:v>
      </x:c>
    </x:row>
    <x:row r="24" ht="22" customHeight="1">
      <x:c r="A24" s="6" t="str">
        <x:f>'Source'!$C$31</x:f>
        <x:v>Anniston-Oxford, AL Metro Area</x:v>
      </x:c>
      <x:c r="B24" s="6" t="str">
        <x:f>'Source'!$B$31</x:f>
        <x:v>11500</x:v>
      </x:c>
      <x:c r="C24" s="7" t="n">
        <x:f>'Source'!$D$31</x:f>
        <x:v>2024</x:v>
      </x:c>
      <x:c r="D24" s="8" t="n">
        <x:f>'Source'!$N$31</x:f>
        <x:v>13241</x:v>
      </x:c>
      <x:c r="E24" s="8" t="n">
        <x:f>'Source'!$AH$31</x:f>
        <x:v>2701</x:v>
      </x:c>
      <x:c r="F24" s="8" t="n">
        <x:f>D24-E24</x:f>
        <x:v>10540</x:v>
      </x:c>
      <x:c r="G24" s="8" t="n">
        <x:f>SUM('Source'!$Z$31,'Source'!$AB$31,'Source'!$AD$31,'Source'!$AF$31)</x:f>
        <x:v>4599</x:v>
      </x:c>
      <x:c r="H24" s="8" t="n">
        <x:f>'Source'!$AF$31</x:f>
        <x:v>2949</x:v>
      </x:c>
      <x:c r="I24" s="9" t="n">
        <x:f>IF(F24=0,"n.a.",G24/F24)</x:f>
        <x:v>0.43633776091081594</x:v>
      </x:c>
      <x:c r="J24" s="9" t="n">
        <x:f>IF(F24=0,"n.a.",H24/F24)</x:f>
        <x:v>0.27979127134724857</x:v>
      </x:c>
      <x:c r="K24" s="9" t="n">
        <x:f>IF(D24=0,"n.a.",E24/D24)</x:f>
        <x:v>0.2039876142285326</x:v>
      </x:c>
    </x:row>
    <x:row r="25" ht="22" customHeight="1">
      <x:c r="A25" s="6" t="str">
        <x:f>'Source'!$C$32</x:f>
        <x:v>Appleton, WI Metro Area</x:v>
      </x:c>
      <x:c r="B25" s="6" t="str">
        <x:f>'Source'!$B$32</x:f>
        <x:v>11540</x:v>
      </x:c>
      <x:c r="C25" s="7" t="n">
        <x:f>'Source'!$D$32</x:f>
        <x:v>2024</x:v>
      </x:c>
      <x:c r="D25" s="8" t="n">
        <x:f>'Source'!$N$32</x:f>
        <x:v>28305</x:v>
      </x:c>
      <x:c r="E25" s="8" t="n">
        <x:f>'Source'!$AH$32</x:f>
        <x:v>1243</x:v>
      </x:c>
      <x:c r="F25" s="8" t="n">
        <x:f>D25-E25</x:f>
        <x:v>27062</x:v>
      </x:c>
      <x:c r="G25" s="8" t="n">
        <x:f>SUM('Source'!$Z$32,'Source'!$AB$32,'Source'!$AD$32,'Source'!$AF$32)</x:f>
        <x:v>11578</x:v>
      </x:c>
      <x:c r="H25" s="8" t="n">
        <x:f>'Source'!$AF$32</x:f>
        <x:v>5806</x:v>
      </x:c>
      <x:c r="I25" s="9" t="n">
        <x:f>IF(F25=0,"n.a.",G25/F25)</x:f>
        <x:v>0.42783238489394726</x:v>
      </x:c>
      <x:c r="J25" s="9" t="n">
        <x:f>IF(F25=0,"n.a.",H25/F25)</x:f>
        <x:v>0.21454437957283276</x:v>
      </x:c>
      <x:c r="K25" s="9" t="n">
        <x:f>IF(D25=0,"n.a.",E25/D25)</x:f>
        <x:v>0.04391450273803215</x:v>
      </x:c>
    </x:row>
    <x:row r="26" ht="22" customHeight="1">
      <x:c r="A26" s="6" t="str">
        <x:f>'Source'!$C$33</x:f>
        <x:v>Asheville, NC Metro Area</x:v>
      </x:c>
      <x:c r="B26" s="6" t="str">
        <x:f>'Source'!$B$33</x:f>
        <x:v>11700</x:v>
      </x:c>
      <x:c r="C26" s="7" t="n">
        <x:f>'Source'!$D$33</x:f>
        <x:v>2024</x:v>
      </x:c>
      <x:c r="D26" s="8" t="n">
        <x:f>'Source'!$N$33</x:f>
        <x:v>42822</x:v>
      </x:c>
      <x:c r="E26" s="8" t="n">
        <x:f>'Source'!$AH$33</x:f>
        <x:v>4203</x:v>
      </x:c>
      <x:c r="F26" s="8" t="n">
        <x:f>D26-E26</x:f>
        <x:v>38619</x:v>
      </x:c>
      <x:c r="G26" s="8" t="n">
        <x:f>SUM('Source'!$Z$33,'Source'!$AB$33,'Source'!$AD$33,'Source'!$AF$33)</x:f>
        <x:v>20601</x:v>
      </x:c>
      <x:c r="H26" s="8" t="n">
        <x:f>'Source'!$AF$33</x:f>
        <x:v>9329</x:v>
      </x:c>
      <x:c r="I26" s="9" t="n">
        <x:f>IF(F26=0,"n.a.",G26/F26)</x:f>
        <x:v>0.533442088091354</x:v>
      </x:c>
      <x:c r="J26" s="9" t="n">
        <x:f>IF(F26=0,"n.a.",H26/F26)</x:f>
        <x:v>0.24156503275589736</x:v>
      </x:c>
      <x:c r="K26" s="9" t="n">
        <x:f>IF(D26=0,"n.a.",E26/D26)</x:f>
        <x:v>0.09815048339638503</x:v>
      </x:c>
    </x:row>
    <x:row r="27" ht="22" customHeight="1">
      <x:c r="A27" s="6" t="str">
        <x:f>'Source'!$C$34</x:f>
        <x:v>Athens-Clarke County, GA Metro Area</x:v>
      </x:c>
      <x:c r="B27" s="6" t="str">
        <x:f>'Source'!$B$34</x:f>
        <x:v>12020</x:v>
      </x:c>
      <x:c r="C27" s="7" t="n">
        <x:f>'Source'!$D$34</x:f>
        <x:v>2024</x:v>
      </x:c>
      <x:c r="D27" s="8" t="n">
        <x:f>'Source'!$N$34</x:f>
        <x:v>39416</x:v>
      </x:c>
      <x:c r="E27" s="8" t="n">
        <x:f>'Source'!$AH$34</x:f>
        <x:v>3435</x:v>
      </x:c>
      <x:c r="F27" s="8" t="n">
        <x:f>D27-E27</x:f>
        <x:v>35981</x:v>
      </x:c>
      <x:c r="G27" s="8" t="n">
        <x:f>SUM('Source'!$Z$34,'Source'!$AB$34,'Source'!$AD$34,'Source'!$AF$34)</x:f>
        <x:v>20077</x:v>
      </x:c>
      <x:c r="H27" s="8" t="n">
        <x:f>'Source'!$AF$34</x:f>
        <x:v>10718</x:v>
      </x:c>
      <x:c r="I27" s="9" t="n">
        <x:f>IF(F27=0,"n.a.",G27/F27)</x:f>
        <x:v>0.5579889386064868</x:v>
      </x:c>
      <x:c r="J27" s="9" t="n">
        <x:f>IF(F27=0,"n.a.",H27/F27)</x:f>
        <x:v>0.29787943636919484</x:v>
      </x:c>
      <x:c r="K27" s="9" t="n">
        <x:f>IF(D27=0,"n.a.",E27/D27)</x:f>
        <x:v>0.08714735132940937</x:v>
      </x:c>
    </x:row>
    <x:row r="28" ht="22" customHeight="1">
      <x:c r="A28" s="6" t="str">
        <x:f>'Source'!$C$35</x:f>
        <x:v>Atlanta-Sandy Springs-Roswell, GA Metro Area</x:v>
      </x:c>
      <x:c r="B28" s="6" t="str">
        <x:f>'Source'!$B$35</x:f>
        <x:v>12060</x:v>
      </x:c>
      <x:c r="C28" s="7" t="n">
        <x:f>'Source'!$D$35</x:f>
        <x:v>2024</x:v>
      </x:c>
      <x:c r="D28" s="8" t="n">
        <x:f>'Source'!$N$35</x:f>
        <x:v>792937</x:v>
      </x:c>
      <x:c r="E28" s="8" t="n">
        <x:f>'Source'!$AH$35</x:f>
        <x:v>39708</x:v>
      </x:c>
      <x:c r="F28" s="8" t="n">
        <x:f>D28-E28</x:f>
        <x:v>753229</x:v>
      </x:c>
      <x:c r="G28" s="8" t="n">
        <x:f>SUM('Source'!$Z$35,'Source'!$AB$35,'Source'!$AD$35,'Source'!$AF$35)</x:f>
        <x:v>422185</x:v>
      </x:c>
      <x:c r="H28" s="8" t="n">
        <x:f>'Source'!$AF$35</x:f>
        <x:v>207898</x:v>
      </x:c>
      <x:c r="I28" s="9" t="n">
        <x:f>IF(F28=0,"n.a.",G28/F28)</x:f>
        <x:v>0.5605001931683459</x:v>
      </x:c>
      <x:c r="J28" s="9" t="n">
        <x:f>IF(F28=0,"n.a.",H28/F28)</x:f>
        <x:v>0.2760090224885128</x:v>
      </x:c>
      <x:c r="K28" s="9" t="n">
        <x:f>IF(D28=0,"n.a.",E28/D28)</x:f>
        <x:v>0.050077118358709455</x:v>
      </x:c>
    </x:row>
    <x:row r="29" ht="22" customHeight="1">
      <x:c r="A29" s="6" t="str">
        <x:f>'Source'!$C$36</x:f>
        <x:v>Atlantic City-Hammonton, NJ Metro Area</x:v>
      </x:c>
      <x:c r="B29" s="6" t="str">
        <x:f>'Source'!$B$36</x:f>
        <x:v>12100</x:v>
      </x:c>
      <x:c r="C29" s="7" t="n">
        <x:f>'Source'!$D$36</x:f>
        <x:v>2024</x:v>
      </x:c>
      <x:c r="D29" s="8" t="n">
        <x:f>'Source'!$N$36</x:f>
        <x:v>41060</x:v>
      </x:c>
      <x:c r="E29" s="8" t="n">
        <x:f>'Source'!$AH$36</x:f>
        <x:v>1885</x:v>
      </x:c>
      <x:c r="F29" s="8" t="n">
        <x:f>D29-E29</x:f>
        <x:v>39175</x:v>
      </x:c>
      <x:c r="G29" s="8" t="n">
        <x:f>SUM('Source'!$Z$36,'Source'!$AB$36,'Source'!$AD$36,'Source'!$AF$36)</x:f>
        <x:v>23612</x:v>
      </x:c>
      <x:c r="H29" s="8" t="n">
        <x:f>'Source'!$AF$36</x:f>
        <x:v>12423</x:v>
      </x:c>
      <x:c r="I29" s="9" t="n">
        <x:f>IF(F29=0,"n.a.",G29/F29)</x:f>
        <x:v>0.6027313337587747</x:v>
      </x:c>
      <x:c r="J29" s="9" t="n">
        <x:f>IF(F29=0,"n.a.",H29/F29)</x:f>
        <x:v>0.31711550733886407</x:v>
      </x:c>
      <x:c r="K29" s="9" t="n">
        <x:f>IF(D29=0,"n.a.",E29/D29)</x:f>
        <x:v>0.04590842669264491</x:v>
      </x:c>
    </x:row>
    <x:row r="30" ht="22" customHeight="1">
      <x:c r="A30" s="6" t="str">
        <x:f>'Source'!$C$37</x:f>
        <x:v>Auburn-Opelika, AL Metro Area</x:v>
      </x:c>
      <x:c r="B30" s="6" t="str">
        <x:f>'Source'!$B$37</x:f>
        <x:v>12220</x:v>
      </x:c>
      <x:c r="C30" s="7" t="n">
        <x:f>'Source'!$D$37</x:f>
        <x:v>2024</x:v>
      </x:c>
      <x:c r="D30" s="8" t="n">
        <x:f>'Source'!$N$37</x:f>
        <x:v>26759</x:v>
      </x:c>
      <x:c r="E30" s="8" t="n">
        <x:f>'Source'!$AH$37</x:f>
        <x:v>3042</x:v>
      </x:c>
      <x:c r="F30" s="8" t="n">
        <x:f>D30-E30</x:f>
        <x:v>23717</x:v>
      </x:c>
      <x:c r="G30" s="8" t="n">
        <x:f>SUM('Source'!$Z$37,'Source'!$AB$37,'Source'!$AD$37,'Source'!$AF$37)</x:f>
        <x:v>11427</x:v>
      </x:c>
      <x:c r="H30" s="8" t="n">
        <x:f>'Source'!$AF$37</x:f>
        <x:v>7180</x:v>
      </x:c>
      <x:c r="I30" s="9" t="n">
        <x:f>IF(F30=0,"n.a.",G30/F30)</x:f>
        <x:v>0.4818062992789982</x:v>
      </x:c>
      <x:c r="J30" s="9" t="n">
        <x:f>IF(F30=0,"n.a.",H30/F30)</x:f>
        <x:v>0.3027364337816756</x:v>
      </x:c>
      <x:c r="K30" s="9" t="n">
        <x:f>IF(D30=0,"n.a.",E30/D30)</x:f>
        <x:v>0.11368137822788595</x:v>
      </x:c>
    </x:row>
    <x:row r="31" ht="22" customHeight="1">
      <x:c r="A31" s="6" t="str">
        <x:f>'Source'!$C$38</x:f>
        <x:v>Augusta-Richmond County, GA-SC Metro Area</x:v>
      </x:c>
      <x:c r="B31" s="6" t="str">
        <x:f>'Source'!$B$38</x:f>
        <x:v>12260</x:v>
      </x:c>
      <x:c r="C31" s="7" t="n">
        <x:f>'Source'!$D$38</x:f>
        <x:v>2024</x:v>
      </x:c>
      <x:c r="D31" s="8" t="n">
        <x:f>'Source'!$N$38</x:f>
        <x:v>81594</x:v>
      </x:c>
      <x:c r="E31" s="8" t="n">
        <x:f>'Source'!$AH$38</x:f>
        <x:v>7707</x:v>
      </x:c>
      <x:c r="F31" s="8" t="n">
        <x:f>D31-E31</x:f>
        <x:v>73887</x:v>
      </x:c>
      <x:c r="G31" s="8" t="n">
        <x:f>SUM('Source'!$Z$38,'Source'!$AB$38,'Source'!$AD$38,'Source'!$AF$38)</x:f>
        <x:v>36928</x:v>
      </x:c>
      <x:c r="H31" s="8" t="n">
        <x:f>'Source'!$AF$38</x:f>
        <x:v>18642</x:v>
      </x:c>
      <x:c r="I31" s="9" t="n">
        <x:f>IF(F31=0,"n.a.",G31/F31)</x:f>
        <x:v>0.4997902202011179</x:v>
      </x:c>
      <x:c r="J31" s="9" t="n">
        <x:f>IF(F31=0,"n.a.",H31/F31)</x:f>
        <x:v>0.25230419424255957</x:v>
      </x:c>
      <x:c r="K31" s="9" t="n">
        <x:f>IF(D31=0,"n.a.",E31/D31)</x:f>
        <x:v>0.09445547466725494</x:v>
      </x:c>
    </x:row>
    <x:row r="32" ht="22" customHeight="1">
      <x:c r="A32" s="6" t="str">
        <x:f>'Source'!$C$39</x:f>
        <x:v>Austin-Round Rock-San Marcos, TX Metro Area</x:v>
      </x:c>
      <x:c r="B32" s="6" t="str">
        <x:f>'Source'!$B$39</x:f>
        <x:v>12420</x:v>
      </x:c>
      <x:c r="C32" s="7" t="n">
        <x:f>'Source'!$D$39</x:f>
        <x:v>2024</x:v>
      </x:c>
      <x:c r="D32" s="8" t="n">
        <x:f>'Source'!$N$39</x:f>
        <x:v>457429</x:v>
      </x:c>
      <x:c r="E32" s="8" t="n">
        <x:f>'Source'!$AH$39</x:f>
        <x:v>17945</x:v>
      </x:c>
      <x:c r="F32" s="8" t="n">
        <x:f>D32-E32</x:f>
        <x:v>439484</x:v>
      </x:c>
      <x:c r="G32" s="8" t="n">
        <x:f>SUM('Source'!$Z$39,'Source'!$AB$39,'Source'!$AD$39,'Source'!$AF$39)</x:f>
        <x:v>218426</x:v>
      </x:c>
      <x:c r="H32" s="8" t="n">
        <x:f>'Source'!$AF$39</x:f>
        <x:v>98732</x:v>
      </x:c>
      <x:c r="I32" s="9" t="n">
        <x:f>IF(F32=0,"n.a.",G32/F32)</x:f>
        <x:v>0.4970055792702351</x:v>
      </x:c>
      <x:c r="J32" s="9" t="n">
        <x:f>IF(F32=0,"n.a.",H32/F32)</x:f>
        <x:v>0.2246543673944899</x:v>
      </x:c>
      <x:c r="K32" s="9" t="n">
        <x:f>IF(D32=0,"n.a.",E32/D32)</x:f>
        <x:v>0.03923013188932053</x:v>
      </x:c>
    </x:row>
    <x:row r="33" ht="22" customHeight="1">
      <x:c r="A33" s="6" t="str">
        <x:f>'Source'!$C$40</x:f>
        <x:v>Bakersfield-Delano, CA Metro Area</x:v>
      </x:c>
      <x:c r="B33" s="6" t="str">
        <x:f>'Source'!$B$40</x:f>
        <x:v>12540</x:v>
      </x:c>
      <x:c r="C33" s="7" t="n">
        <x:f>'Source'!$D$40</x:f>
        <x:v>2024</x:v>
      </x:c>
      <x:c r="D33" s="8" t="n">
        <x:f>'Source'!$N$40</x:f>
        <x:v>113316</x:v>
      </x:c>
      <x:c r="E33" s="8" t="n">
        <x:f>'Source'!$AH$40</x:f>
        <x:v>5969</x:v>
      </x:c>
      <x:c r="F33" s="8" t="n">
        <x:f>D33-E33</x:f>
        <x:v>107347</x:v>
      </x:c>
      <x:c r="G33" s="8" t="n">
        <x:f>SUM('Source'!$Z$40,'Source'!$AB$40,'Source'!$AD$40,'Source'!$AF$40)</x:f>
        <x:v>63555</x:v>
      </x:c>
      <x:c r="H33" s="8" t="n">
        <x:f>'Source'!$AF$40</x:f>
        <x:v>33945</x:v>
      </x:c>
      <x:c r="I33" s="9" t="n">
        <x:f>IF(F33=0,"n.a.",G33/F33)</x:f>
        <x:v>0.5920519436966101</x:v>
      </x:c>
      <x:c r="J33" s="9" t="n">
        <x:f>IF(F33=0,"n.a.",H33/F33)</x:f>
        <x:v>0.31621750025617856</x:v>
      </x:c>
      <x:c r="K33" s="9" t="n">
        <x:f>IF(D33=0,"n.a.",E33/D33)</x:f>
        <x:v>0.0526757033428642</x:v>
      </x:c>
    </x:row>
    <x:row r="34" ht="22" customHeight="1">
      <x:c r="A34" s="6" t="str">
        <x:f>'Source'!$C$41</x:f>
        <x:v>Baltimore-Columbia-Towson, MD Metro Area</x:v>
      </x:c>
      <x:c r="B34" s="6" t="str">
        <x:f>'Source'!$B$41</x:f>
        <x:v>12580</x:v>
      </x:c>
      <x:c r="C34" s="7" t="n">
        <x:f>'Source'!$D$41</x:f>
        <x:v>2024</x:v>
      </x:c>
      <x:c r="D34" s="8" t="n">
        <x:f>'Source'!$N$41</x:f>
        <x:v>380098</x:v>
      </x:c>
      <x:c r="E34" s="8" t="n">
        <x:f>'Source'!$AH$41</x:f>
        <x:v>20615</x:v>
      </x:c>
      <x:c r="F34" s="8" t="n">
        <x:f>D34-E34</x:f>
        <x:v>359483</x:v>
      </x:c>
      <x:c r="G34" s="8" t="n">
        <x:f>SUM('Source'!$Z$41,'Source'!$AB$41,'Source'!$AD$41,'Source'!$AF$41)</x:f>
        <x:v>187235</x:v>
      </x:c>
      <x:c r="H34" s="8" t="n">
        <x:f>'Source'!$AF$41</x:f>
        <x:v>90109</x:v>
      </x:c>
      <x:c r="I34" s="9" t="n">
        <x:f>IF(F34=0,"n.a.",G34/F34)</x:f>
        <x:v>0.5208452138209595</x:v>
      </x:c>
      <x:c r="J34" s="9" t="n">
        <x:f>IF(F34=0,"n.a.",H34/F34)</x:f>
        <x:v>0.25066275734874804</x:v>
      </x:c>
      <x:c r="K34" s="9" t="n">
        <x:f>IF(D34=0,"n.a.",E34/D34)</x:f>
        <x:v>0.054236012817747</x:v>
      </x:c>
    </x:row>
    <x:row r="35" ht="22" customHeight="1">
      <x:c r="A35" s="6" t="str">
        <x:f>'Source'!$C$42</x:f>
        <x:v>Bangor, ME Metro Area</x:v>
      </x:c>
      <x:c r="B35" s="6" t="str">
        <x:f>'Source'!$B$42</x:f>
        <x:v>12620</x:v>
      </x:c>
      <x:c r="C35" s="7" t="n">
        <x:f>'Source'!$D$42</x:f>
        <x:v>2024</x:v>
      </x:c>
      <x:c r="D35" s="8" t="n">
        <x:f>'Source'!$N$42</x:f>
        <x:v>19355</x:v>
      </x:c>
      <x:c r="E35" s="8" t="n">
        <x:f>'Source'!$AH$42</x:f>
        <x:v>1257</x:v>
      </x:c>
      <x:c r="F35" s="8" t="n">
        <x:f>D35-E35</x:f>
        <x:v>18098</x:v>
      </x:c>
      <x:c r="G35" s="8" t="n">
        <x:f>SUM('Source'!$Z$42,'Source'!$AB$42,'Source'!$AD$42,'Source'!$AF$42)</x:f>
        <x:v>9705</x:v>
      </x:c>
      <x:c r="H35" s="8" t="n">
        <x:f>'Source'!$AF$42</x:f>
        <x:v>5086</x:v>
      </x:c>
      <x:c r="I35" s="9" t="n">
        <x:f>IF(F35=0,"n.a.",G35/F35)</x:f>
        <x:v>0.5362470991269753</x:v>
      </x:c>
      <x:c r="J35" s="9" t="n">
        <x:f>IF(F35=0,"n.a.",H35/F35)</x:f>
        <x:v>0.28102552768261685</x:v>
      </x:c>
      <x:c r="K35" s="9" t="n">
        <x:f>IF(D35=0,"n.a.",E35/D35)</x:f>
        <x:v>0.0649444587961767</x:v>
      </x:c>
    </x:row>
    <x:row r="36" ht="22" customHeight="1">
      <x:c r="A36" s="6" t="str">
        <x:f>'Source'!$C$43</x:f>
        <x:v>Barnstable Town, MA Metro Area</x:v>
      </x:c>
      <x:c r="B36" s="6" t="str">
        <x:f>'Source'!$B$43</x:f>
        <x:v>12700</x:v>
      </x:c>
      <x:c r="C36" s="7" t="n">
        <x:f>'Source'!$D$43</x:f>
        <x:v>2024</x:v>
      </x:c>
      <x:c r="D36" s="8" t="n">
        <x:f>'Source'!$N$43</x:f>
        <x:v>21004</x:v>
      </x:c>
      <x:c r="E36" s="8" t="n">
        <x:f>'Source'!$AH$43</x:f>
        <x:v>1359</x:v>
      </x:c>
      <x:c r="F36" s="8" t="n">
        <x:f>D36-E36</x:f>
        <x:v>19645</x:v>
      </x:c>
      <x:c r="G36" s="8" t="n">
        <x:f>SUM('Source'!$Z$43,'Source'!$AB$43,'Source'!$AD$43,'Source'!$AF$43)</x:f>
        <x:v>10563</x:v>
      </x:c>
      <x:c r="H36" s="8" t="n">
        <x:f>'Source'!$AF$43</x:f>
        <x:v>5071</x:v>
      </x:c>
      <x:c r="I36" s="9" t="n">
        <x:f>IF(F36=0,"n.a.",G36/F36)</x:f>
        <x:v>0.5376940697378467</x:v>
      </x:c>
      <x:c r="J36" s="9" t="n">
        <x:f>IF(F36=0,"n.a.",H36/F36)</x:f>
        <x:v>0.2581318401628913</x:v>
      </x:c>
      <x:c r="K36" s="9" t="n">
        <x:f>IF(D36=0,"n.a.",E36/D36)</x:f>
        <x:v>0.06470196153113693</x:v>
      </x:c>
    </x:row>
    <x:row r="37" ht="22" customHeight="1">
      <x:c r="A37" s="6" t="str">
        <x:f>'Source'!$C$44</x:f>
        <x:v>Baton Rouge, LA Metro Area</x:v>
      </x:c>
      <x:c r="B37" s="6" t="str">
        <x:f>'Source'!$B$44</x:f>
        <x:v>12940</x:v>
      </x:c>
      <x:c r="C37" s="7" t="n">
        <x:f>'Source'!$D$44</x:f>
        <x:v>2024</x:v>
      </x:c>
      <x:c r="D37" s="8" t="n">
        <x:f>'Source'!$N$44</x:f>
        <x:v>104526</x:v>
      </x:c>
      <x:c r="E37" s="8" t="n">
        <x:f>'Source'!$AH$44</x:f>
        <x:v>12615</x:v>
      </x:c>
      <x:c r="F37" s="8" t="n">
        <x:f>D37-E37</x:f>
        <x:v>91911</x:v>
      </x:c>
      <x:c r="G37" s="8" t="n">
        <x:f>SUM('Source'!$Z$44,'Source'!$AB$44,'Source'!$AD$44,'Source'!$AF$44)</x:f>
        <x:v>49624</x:v>
      </x:c>
      <x:c r="H37" s="8" t="n">
        <x:f>'Source'!$AF$44</x:f>
        <x:v>27183</x:v>
      </x:c>
      <x:c r="I37" s="9" t="n">
        <x:f>IF(F37=0,"n.a.",G37/F37)</x:f>
        <x:v>0.5399136120812525</x:v>
      </x:c>
      <x:c r="J37" s="9" t="n">
        <x:f>IF(F37=0,"n.a.",H37/F37)</x:f>
        <x:v>0.2957535006691256</x:v>
      </x:c>
      <x:c r="K37" s="9" t="n">
        <x:f>IF(D37=0,"n.a.",E37/D37)</x:f>
        <x:v>0.12068767579358246</x:v>
      </x:c>
    </x:row>
    <x:row r="38" ht="22" customHeight="1">
      <x:c r="A38" s="6" t="str">
        <x:f>'Source'!$C$45</x:f>
        <x:v>Battle Creek, MI Metro Area</x:v>
      </x:c>
      <x:c r="B38" s="6" t="str">
        <x:f>'Source'!$B$45</x:f>
        <x:v>12980</x:v>
      </x:c>
      <x:c r="C38" s="7" t="n">
        <x:f>'Source'!$D$45</x:f>
        <x:v>2024</x:v>
      </x:c>
      <x:c r="D38" s="8" t="n">
        <x:f>'Source'!$N$45</x:f>
        <x:v>14167</x:v>
      </x:c>
      <x:c r="E38" s="8" t="n">
        <x:f>'Source'!$AH$45</x:f>
        <x:v>731</x:v>
      </x:c>
      <x:c r="F38" s="8" t="n">
        <x:f>D38-E38</x:f>
        <x:v>13436</x:v>
      </x:c>
      <x:c r="G38" s="8" t="n">
        <x:f>SUM('Source'!$Z$45,'Source'!$AB$45,'Source'!$AD$45,'Source'!$AF$45)</x:f>
        <x:v>6059</x:v>
      </x:c>
      <x:c r="H38" s="8" t="n">
        <x:f>'Source'!$AF$45</x:f>
        <x:v>2612</x:v>
      </x:c>
      <x:c r="I38" s="9" t="n">
        <x:f>IF(F38=0,"n.a.",G38/F38)</x:f>
        <x:v>0.4509526644834772</x:v>
      </x:c>
      <x:c r="J38" s="9" t="n">
        <x:f>IF(F38=0,"n.a.",H38/F38)</x:f>
        <x:v>0.1944030961595713</x:v>
      </x:c>
      <x:c r="K38" s="9" t="n">
        <x:f>IF(D38=0,"n.a.",E38/D38)</x:f>
        <x:v>0.051598785910919744</x:v>
      </x:c>
    </x:row>
    <x:row r="39" ht="22" customHeight="1">
      <x:c r="A39" s="6" t="str">
        <x:f>'Source'!$C$46</x:f>
        <x:v>Bay City, MI Metro Area</x:v>
      </x:c>
      <x:c r="B39" s="6" t="str">
        <x:f>'Source'!$B$46</x:f>
        <x:v>13020</x:v>
      </x:c>
      <x:c r="C39" s="7" t="n">
        <x:f>'Source'!$D$46</x:f>
        <x:v>2024</x:v>
      </x:c>
      <x:c r="D39" s="8" t="n">
        <x:f>'Source'!$N$46</x:f>
        <x:v>10491</x:v>
      </x:c>
      <x:c r="E39" s="8" t="n">
        <x:f>'Source'!$AH$46</x:f>
        <x:v>678</x:v>
      </x:c>
      <x:c r="F39" s="8" t="n">
        <x:f>D39-E39</x:f>
        <x:v>9813</x:v>
      </x:c>
      <x:c r="G39" s="8" t="n">
        <x:f>SUM('Source'!$Z$46,'Source'!$AB$46,'Source'!$AD$46,'Source'!$AF$46)</x:f>
        <x:v>3505</x:v>
      </x:c>
      <x:c r="H39" s="8" t="n">
        <x:f>'Source'!$AF$46</x:f>
        <x:v>1881</x:v>
      </x:c>
      <x:c r="I39" s="9" t="n">
        <x:f>IF(F39=0,"n.a.",G39/F39)</x:f>
        <x:v>0.3571792520126363</x:v>
      </x:c>
      <x:c r="J39" s="9" t="n">
        <x:f>IF(F39=0,"n.a.",H39/F39)</x:f>
        <x:v>0.19168450015285846</x:v>
      </x:c>
      <x:c r="K39" s="9" t="n">
        <x:f>IF(D39=0,"n.a.",E39/D39)</x:f>
        <x:v>0.06462682299113526</x:v>
      </x:c>
    </x:row>
    <x:row r="40" ht="22" customHeight="1">
      <x:c r="A40" s="6" t="str">
        <x:f>'Source'!$C$47</x:f>
        <x:v>Beaumont-Port Arthur, TX Metro Area</x:v>
      </x:c>
      <x:c r="B40" s="6" t="str">
        <x:f>'Source'!$B$47</x:f>
        <x:v>13140</x:v>
      </x:c>
      <x:c r="C40" s="7" t="n">
        <x:f>'Source'!$D$47</x:f>
        <x:v>2024</x:v>
      </x:c>
      <x:c r="D40" s="8" t="n">
        <x:f>'Source'!$N$47</x:f>
        <x:v>45451</x:v>
      </x:c>
      <x:c r="E40" s="8" t="n">
        <x:f>'Source'!$AH$47</x:f>
        <x:v>5798</x:v>
      </x:c>
      <x:c r="F40" s="8" t="n">
        <x:f>D40-E40</x:f>
        <x:v>39653</x:v>
      </x:c>
      <x:c r="G40" s="8" t="n">
        <x:f>SUM('Source'!$Z$47,'Source'!$AB$47,'Source'!$AD$47,'Source'!$AF$47)</x:f>
        <x:v>19475</x:v>
      </x:c>
      <x:c r="H40" s="8" t="n">
        <x:f>'Source'!$AF$47</x:f>
        <x:v>9241</x:v>
      </x:c>
      <x:c r="I40" s="9" t="n">
        <x:f>IF(F40=0,"n.a.",G40/F40)</x:f>
        <x:v>0.4911356013416387</x:v>
      </x:c>
      <x:c r="J40" s="9" t="n">
        <x:f>IF(F40=0,"n.a.",H40/F40)</x:f>
        <x:v>0.23304667994855371</x:v>
      </x:c>
      <x:c r="K40" s="9" t="n">
        <x:f>IF(D40=0,"n.a.",E40/D40)</x:f>
        <x:v>0.12756595014411123</x:v>
      </x:c>
    </x:row>
    <x:row r="41" ht="22" customHeight="1">
      <x:c r="A41" s="6" t="str">
        <x:f>'Source'!$C$48</x:f>
        <x:v>Beckley, WV Metro Area</x:v>
      </x:c>
      <x:c r="B41" s="6" t="str">
        <x:f>'Source'!$B$48</x:f>
        <x:v>13220</x:v>
      </x:c>
      <x:c r="C41" s="7" t="n">
        <x:f>'Source'!$D$48</x:f>
        <x:v>2024</x:v>
      </x:c>
      <x:c r="D41" s="8" t="n">
        <x:f>'Source'!$N$48</x:f>
        <x:v>9280</x:v>
      </x:c>
      <x:c r="E41" s="8" t="n">
        <x:f>'Source'!$AH$48</x:f>
        <x:v>1718</x:v>
      </x:c>
      <x:c r="F41" s="8" t="n">
        <x:f>D41-E41</x:f>
        <x:v>7562</x:v>
      </x:c>
      <x:c r="G41" s="8" t="n">
        <x:f>SUM('Source'!$Z$48,'Source'!$AB$48,'Source'!$AD$48,'Source'!$AF$48)</x:f>
        <x:v>3734</x:v>
      </x:c>
      <x:c r="H41" s="8" t="n">
        <x:f>'Source'!$AF$48</x:f>
        <x:v>2110</x:v>
      </x:c>
      <x:c r="I41" s="9" t="n">
        <x:f>IF(F41=0,"n.a.",G41/F41)</x:f>
        <x:v>0.4937847130388786</x:v>
      </x:c>
      <x:c r="J41" s="9" t="n">
        <x:f>IF(F41=0,"n.a.",H41/F41)</x:f>
        <x:v>0.279026712509918</x:v>
      </x:c>
      <x:c r="K41" s="9" t="n">
        <x:f>IF(D41=0,"n.a.",E41/D41)</x:f>
        <x:v>0.18512931034482757</x:v>
      </x:c>
    </x:row>
    <x:row r="42" ht="22" customHeight="1">
      <x:c r="A42" s="6" t="str">
        <x:f>'Source'!$C$49</x:f>
        <x:v>Bellingham, WA Metro Area</x:v>
      </x:c>
      <x:c r="B42" s="6" t="str">
        <x:f>'Source'!$B$49</x:f>
        <x:v>13380</x:v>
      </x:c>
      <x:c r="C42" s="7" t="n">
        <x:f>'Source'!$D$49</x:f>
        <x:v>2024</x:v>
      </x:c>
      <x:c r="D42" s="8" t="n">
        <x:f>'Source'!$N$49</x:f>
        <x:v>33874</x:v>
      </x:c>
      <x:c r="E42" s="8" t="n">
        <x:f>'Source'!$AH$49</x:f>
        <x:v>1378</x:v>
      </x:c>
      <x:c r="F42" s="8" t="n">
        <x:f>D42-E42</x:f>
        <x:v>32496</x:v>
      </x:c>
      <x:c r="G42" s="8" t="n">
        <x:f>SUM('Source'!$Z$49,'Source'!$AB$49,'Source'!$AD$49,'Source'!$AF$49)</x:f>
        <x:v>18617</x:v>
      </x:c>
      <x:c r="H42" s="8" t="n">
        <x:f>'Source'!$AF$49</x:f>
        <x:v>9443</x:v>
      </x:c>
      <x:c r="I42" s="9" t="n">
        <x:f>IF(F42=0,"n.a.",G42/F42)</x:f>
        <x:v>0.5729012801575578</x:v>
      </x:c>
      <x:c r="J42" s="9" t="n">
        <x:f>IF(F42=0,"n.a.",H42/F42)</x:f>
        <x:v>0.29058961102904973</x:v>
      </x:c>
      <x:c r="K42" s="9" t="n">
        <x:f>IF(D42=0,"n.a.",E42/D42)</x:f>
        <x:v>0.040680167680226725</x:v>
      </x:c>
    </x:row>
    <x:row r="43" ht="22" customHeight="1">
      <x:c r="A43" s="6" t="str">
        <x:f>'Source'!$C$50</x:f>
        <x:v>Bend, OR Metro Area</x:v>
      </x:c>
      <x:c r="B43" s="6" t="str">
        <x:f>'Source'!$B$50</x:f>
        <x:v>13460</x:v>
      </x:c>
      <x:c r="C43" s="7" t="n">
        <x:f>'Source'!$D$50</x:f>
        <x:v>2024</x:v>
      </x:c>
      <x:c r="D43" s="8" t="n">
        <x:f>'Source'!$N$50</x:f>
        <x:v>34330</x:v>
      </x:c>
      <x:c r="E43" s="8" t="n">
        <x:f>'Source'!$AH$50</x:f>
        <x:v>2063</x:v>
      </x:c>
      <x:c r="F43" s="8" t="n">
        <x:f>D43-E43</x:f>
        <x:v>32267</x:v>
      </x:c>
      <x:c r="G43" s="8" t="n">
        <x:f>SUM('Source'!$Z$50,'Source'!$AB$50,'Source'!$AD$50,'Source'!$AF$50)</x:f>
        <x:v>15948</x:v>
      </x:c>
      <x:c r="H43" s="8" t="n">
        <x:f>'Source'!$AF$50</x:f>
        <x:v>6993</x:v>
      </x:c>
      <x:c r="I43" s="9" t="n">
        <x:f>IF(F43=0,"n.a.",G43/F43)</x:f>
        <x:v>0.49425109244739207</x:v>
      </x:c>
      <x:c r="J43" s="9" t="n">
        <x:f>IF(F43=0,"n.a.",H43/F43)</x:f>
        <x:v>0.2167229677379366</x:v>
      </x:c>
      <x:c r="K43" s="9" t="n">
        <x:f>IF(D43=0,"n.a.",E43/D43)</x:f>
        <x:v>0.0600932129332945</x:v>
      </x:c>
    </x:row>
    <x:row r="44" ht="22" customHeight="1">
      <x:c r="A44" s="6" t="str">
        <x:f>'Source'!$C$51</x:f>
        <x:v>Billings, MT Metro Area</x:v>
      </x:c>
      <x:c r="B44" s="6" t="str">
        <x:f>'Source'!$B$51</x:f>
        <x:v>13740</x:v>
      </x:c>
      <x:c r="C44" s="7" t="n">
        <x:f>'Source'!$D$51</x:f>
        <x:v>2024</x:v>
      </x:c>
      <x:c r="D44" s="8" t="n">
        <x:f>'Source'!$N$51</x:f>
        <x:v>23072</x:v>
      </x:c>
      <x:c r="E44" s="8" t="n">
        <x:f>'Source'!$AH$51</x:f>
        <x:v>1871</x:v>
      </x:c>
      <x:c r="F44" s="8" t="n">
        <x:f>D44-E44</x:f>
        <x:v>21201</x:v>
      </x:c>
      <x:c r="G44" s="8" t="n">
        <x:f>SUM('Source'!$Z$51,'Source'!$AB$51,'Source'!$AD$51,'Source'!$AF$51)</x:f>
        <x:v>10775</x:v>
      </x:c>
      <x:c r="H44" s="8" t="n">
        <x:f>'Source'!$AF$51</x:f>
        <x:v>4982</x:v>
      </x:c>
      <x:c r="I44" s="9" t="n">
        <x:f>IF(F44=0,"n.a.",G44/F44)</x:f>
        <x:v>0.5082307438328381</x:v>
      </x:c>
      <x:c r="J44" s="9" t="n">
        <x:f>IF(F44=0,"n.a.",H44/F44)</x:f>
        <x:v>0.23498891561718788</x:v>
      </x:c>
      <x:c r="K44" s="9" t="n">
        <x:f>IF(D44=0,"n.a.",E44/D44)</x:f>
        <x:v>0.08109396671289876</x:v>
      </x:c>
    </x:row>
    <x:row r="45" ht="22" customHeight="1">
      <x:c r="A45" s="6" t="str">
        <x:f>'Source'!$C$52</x:f>
        <x:v>Binghamton, NY Metro Area</x:v>
      </x:c>
      <x:c r="B45" s="6" t="str">
        <x:f>'Source'!$B$52</x:f>
        <x:v>13780</x:v>
      </x:c>
      <x:c r="C45" s="7" t="n">
        <x:f>'Source'!$D$52</x:f>
        <x:v>2024</x:v>
      </x:c>
      <x:c r="D45" s="8" t="n">
        <x:f>'Source'!$N$52</x:f>
        <x:v>33273</x:v>
      </x:c>
      <x:c r="E45" s="8" t="n">
        <x:f>'Source'!$AH$52</x:f>
        <x:v>2253</x:v>
      </x:c>
      <x:c r="F45" s="8" t="n">
        <x:f>D45-E45</x:f>
        <x:v>31020</x:v>
      </x:c>
      <x:c r="G45" s="8" t="n">
        <x:f>SUM('Source'!$Z$52,'Source'!$AB$52,'Source'!$AD$52,'Source'!$AF$52)</x:f>
        <x:v>16571</x:v>
      </x:c>
      <x:c r="H45" s="8" t="n">
        <x:f>'Source'!$AF$52</x:f>
        <x:v>9826</x:v>
      </x:c>
      <x:c r="I45" s="9" t="n">
        <x:f>IF(F45=0,"n.a.",G45/F45)</x:f>
        <x:v>0.5342037395228885</x:v>
      </x:c>
      <x:c r="J45" s="9" t="n">
        <x:f>IF(F45=0,"n.a.",H45/F45)</x:f>
        <x:v>0.3167633784655061</x:v>
      </x:c>
      <x:c r="K45" s="9" t="n">
        <x:f>IF(D45=0,"n.a.",E45/D45)</x:f>
        <x:v>0.06771255973311695</x:v>
      </x:c>
    </x:row>
    <x:row r="46" ht="22" customHeight="1">
      <x:c r="A46" s="6" t="str">
        <x:f>'Source'!$C$53</x:f>
        <x:v>Birmingham, AL Metro Area</x:v>
      </x:c>
      <x:c r="B46" s="6" t="str">
        <x:f>'Source'!$B$53</x:f>
        <x:v>13820</x:v>
      </x:c>
      <x:c r="C46" s="7" t="n">
        <x:f>'Source'!$D$53</x:f>
        <x:v>2024</x:v>
      </x:c>
      <x:c r="D46" s="8" t="n">
        <x:f>'Source'!$N$53</x:f>
        <x:v>139037</x:v>
      </x:c>
      <x:c r="E46" s="8" t="n">
        <x:f>'Source'!$AH$53</x:f>
        <x:v>14734</x:v>
      </x:c>
      <x:c r="F46" s="8" t="n">
        <x:f>D46-E46</x:f>
        <x:v>124303</x:v>
      </x:c>
      <x:c r="G46" s="8" t="n">
        <x:f>SUM('Source'!$Z$53,'Source'!$AB$53,'Source'!$AD$53,'Source'!$AF$53)</x:f>
        <x:v>62436</x:v>
      </x:c>
      <x:c r="H46" s="8" t="n">
        <x:f>'Source'!$AF$53</x:f>
        <x:v>27241</x:v>
      </x:c>
      <x:c r="I46" s="9" t="n">
        <x:f>IF(F46=0,"n.a.",G46/F46)</x:f>
        <x:v>0.5022887621376797</x:v>
      </x:c>
      <x:c r="J46" s="9" t="n">
        <x:f>IF(F46=0,"n.a.",H46/F46)</x:f>
        <x:v>0.21914998029009758</x:v>
      </x:c>
      <x:c r="K46" s="9" t="n">
        <x:f>IF(D46=0,"n.a.",E46/D46)</x:f>
        <x:v>0.10597179168135101</x:v>
      </x:c>
    </x:row>
    <x:row r="47" ht="22" customHeight="1">
      <x:c r="A47" s="6" t="str">
        <x:f>'Source'!$C$54</x:f>
        <x:v>Bismarck, ND Metro Area</x:v>
      </x:c>
      <x:c r="B47" s="6" t="str">
        <x:f>'Source'!$B$54</x:f>
        <x:v>13900</x:v>
      </x:c>
      <x:c r="C47" s="7" t="n">
        <x:f>'Source'!$D$54</x:f>
        <x:v>2024</x:v>
      </x:c>
      <x:c r="D47" s="8" t="n">
        <x:f>'Source'!$N$54</x:f>
        <x:v>15828</x:v>
      </x:c>
      <x:c r="E47" s="8" t="n">
        <x:f>'Source'!$AH$54</x:f>
        <x:v>723</x:v>
      </x:c>
      <x:c r="F47" s="8" t="n">
        <x:f>D47-E47</x:f>
        <x:v>15105</x:v>
      </x:c>
      <x:c r="G47" s="8" t="n">
        <x:f>SUM('Source'!$Z$54,'Source'!$AB$54,'Source'!$AD$54,'Source'!$AF$54)</x:f>
        <x:v>3798</x:v>
      </x:c>
      <x:c r="H47" s="8" t="n">
        <x:f>'Source'!$AF$54</x:f>
        <x:v>1320</x:v>
      </x:c>
      <x:c r="I47" s="9" t="n">
        <x:f>IF(F47=0,"n.a.",G47/F47)</x:f>
        <x:v>0.25143992055610725</x:v>
      </x:c>
      <x:c r="J47" s="9" t="n">
        <x:f>IF(F47=0,"n.a.",H47/F47)</x:f>
        <x:v>0.08738828202581926</x:v>
      </x:c>
      <x:c r="K47" s="9" t="n">
        <x:f>IF(D47=0,"n.a.",E47/D47)</x:f>
        <x:v>0.045678544351781654</x:v>
      </x:c>
    </x:row>
    <x:row r="48" ht="22" customHeight="1">
      <x:c r="A48" s="6" t="str">
        <x:f>'Source'!$C$55</x:f>
        <x:v>Blacksburg-Christiansburg-Radford, VA Metro Area</x:v>
      </x:c>
      <x:c r="B48" s="6" t="str">
        <x:f>'Source'!$B$55</x:f>
        <x:v>13980</x:v>
      </x:c>
      <x:c r="C48" s="7" t="n">
        <x:f>'Source'!$D$55</x:f>
        <x:v>2024</x:v>
      </x:c>
      <x:c r="D48" s="8" t="n">
        <x:f>'Source'!$N$55</x:f>
        <x:v>24926</x:v>
      </x:c>
      <x:c r="E48" s="8" t="n">
        <x:f>'Source'!$AH$55</x:f>
        <x:v>2593</x:v>
      </x:c>
      <x:c r="F48" s="8" t="n">
        <x:f>D48-E48</x:f>
        <x:v>22333</x:v>
      </x:c>
      <x:c r="G48" s="8" t="n">
        <x:f>SUM('Source'!$Z$55,'Source'!$AB$55,'Source'!$AD$55,'Source'!$AF$55)</x:f>
        <x:v>11429</x:v>
      </x:c>
      <x:c r="H48" s="8" t="n">
        <x:f>'Source'!$AF$55</x:f>
        <x:v>6662</x:v>
      </x:c>
      <x:c r="I48" s="9" t="n">
        <x:f>IF(F48=0,"n.a.",G48/F48)</x:f>
        <x:v>0.511753906774728</x:v>
      </x:c>
      <x:c r="J48" s="9" t="n">
        <x:f>IF(F48=0,"n.a.",H48/F48)</x:f>
        <x:v>0.29830295974566784</x:v>
      </x:c>
      <x:c r="K48" s="9" t="n">
        <x:f>IF(D48=0,"n.a.",E48/D48)</x:f>
        <x:v>0.1040279226510471</x:v>
      </x:c>
    </x:row>
    <x:row r="49" ht="22" customHeight="1">
      <x:c r="A49" s="6" t="str">
        <x:f>'Source'!$C$56</x:f>
        <x:v>Bloomington, IL Metro Area</x:v>
      </x:c>
      <x:c r="B49" s="6" t="str">
        <x:f>'Source'!$B$56</x:f>
        <x:v>14010</x:v>
      </x:c>
      <x:c r="C49" s="7" t="n">
        <x:f>'Source'!$D$56</x:f>
        <x:v>2024</x:v>
      </x:c>
      <x:c r="D49" s="8" t="n">
        <x:f>'Source'!$N$56</x:f>
        <x:v>25422</x:v>
      </x:c>
      <x:c r="E49" s="8" t="n">
        <x:f>'Source'!$AH$56</x:f>
        <x:v>2050</x:v>
      </x:c>
      <x:c r="F49" s="8" t="n">
        <x:f>D49-E49</x:f>
        <x:v>23372</x:v>
      </x:c>
      <x:c r="G49" s="8" t="n">
        <x:f>SUM('Source'!$Z$56,'Source'!$AB$56,'Source'!$AD$56,'Source'!$AF$56)</x:f>
        <x:v>10332</x:v>
      </x:c>
      <x:c r="H49" s="8" t="n">
        <x:f>'Source'!$AF$56</x:f>
        <x:v>5392</x:v>
      </x:c>
      <x:c r="I49" s="9" t="n">
        <x:f>IF(F49=0,"n.a.",G49/F49)</x:f>
        <x:v>0.4420674311141537</x:v>
      </x:c>
      <x:c r="J49" s="9" t="n">
        <x:f>IF(F49=0,"n.a.",H49/F49)</x:f>
        <x:v>0.23070340578469964</x:v>
      </x:c>
      <x:c r="K49" s="9" t="n">
        <x:f>IF(D49=0,"n.a.",E49/D49)</x:f>
        <x:v>0.08063881677287389</x:v>
      </x:c>
    </x:row>
    <x:row r="50" ht="22" customHeight="1">
      <x:c r="A50" s="6" t="str">
        <x:f>'Source'!$C$57</x:f>
        <x:v>Bloomington, IN Metro Area</x:v>
      </x:c>
      <x:c r="B50" s="6" t="str">
        <x:f>'Source'!$B$57</x:f>
        <x:v>14020</x:v>
      </x:c>
      <x:c r="C50" s="7" t="n">
        <x:f>'Source'!$D$57</x:f>
        <x:v>2024</x:v>
      </x:c>
      <x:c r="D50" s="8" t="n">
        <x:f>'Source'!$N$57</x:f>
        <x:v>29358</x:v>
      </x:c>
      <x:c r="E50" s="8" t="n">
        <x:f>'Source'!$AH$57</x:f>
        <x:v>2396</x:v>
      </x:c>
      <x:c r="F50" s="8" t="n">
        <x:f>D50-E50</x:f>
        <x:v>26962</x:v>
      </x:c>
      <x:c r="G50" s="8" t="n">
        <x:f>SUM('Source'!$Z$57,'Source'!$AB$57,'Source'!$AD$57,'Source'!$AF$57)</x:f>
        <x:v>16664</x:v>
      </x:c>
      <x:c r="H50" s="8" t="n">
        <x:f>'Source'!$AF$57</x:f>
        <x:v>8869</x:v>
      </x:c>
      <x:c r="I50" s="9" t="n">
        <x:f>IF(F50=0,"n.a.",G50/F50)</x:f>
        <x:v>0.618055040427268</x:v>
      </x:c>
      <x:c r="J50" s="9" t="n">
        <x:f>IF(F50=0,"n.a.",H50/F50)</x:f>
        <x:v>0.32894444032341813</x:v>
      </x:c>
      <x:c r="K50" s="9" t="n">
        <x:f>IF(D50=0,"n.a.",E50/D50)</x:f>
        <x:v>0.08161318890932624</x:v>
      </x:c>
    </x:row>
    <x:row r="51" ht="22" customHeight="1">
      <x:c r="A51" s="6" t="str">
        <x:f>'Source'!$C$58</x:f>
        <x:v>Boise City, ID Metro Area</x:v>
      </x:c>
      <x:c r="B51" s="6" t="str">
        <x:f>'Source'!$B$58</x:f>
        <x:v>14260</x:v>
      </x:c>
      <x:c r="C51" s="7" t="n">
        <x:f>'Source'!$D$58</x:f>
        <x:v>2024</x:v>
      </x:c>
      <x:c r="D51" s="8" t="n">
        <x:f>'Source'!$N$58</x:f>
        <x:v>90465</x:v>
      </x:c>
      <x:c r="E51" s="8" t="n">
        <x:f>'Source'!$AH$58</x:f>
        <x:v>4024</x:v>
      </x:c>
      <x:c r="F51" s="8" t="n">
        <x:f>D51-E51</x:f>
        <x:v>86441</x:v>
      </x:c>
      <x:c r="G51" s="8" t="n">
        <x:f>SUM('Source'!$Z$58,'Source'!$AB$58,'Source'!$AD$58,'Source'!$AF$58)</x:f>
        <x:v>44462</x:v>
      </x:c>
      <x:c r="H51" s="8" t="n">
        <x:f>'Source'!$AF$58</x:f>
        <x:v>21585</x:v>
      </x:c>
      <x:c r="I51" s="9" t="n">
        <x:f>IF(F51=0,"n.a.",G51/F51)</x:f>
        <x:v>0.5143623974734212</x:v>
      </x:c>
      <x:c r="J51" s="9" t="n">
        <x:f>IF(F51=0,"n.a.",H51/F51)</x:f>
        <x:v>0.2497078932451036</x:v>
      </x:c>
      <x:c r="K51" s="9" t="n">
        <x:f>IF(D51=0,"n.a.",E51/D51)</x:f>
        <x:v>0.04448129110705798</x:v>
      </x:c>
    </x:row>
    <x:row r="52" ht="22" customHeight="1">
      <x:c r="A52" s="6" t="str">
        <x:f>'Source'!$C$59</x:f>
        <x:v>Boston-Cambridge-Newton, MA-NH Metro Area</x:v>
      </x:c>
      <x:c r="B52" s="6" t="str">
        <x:f>'Source'!$B$59</x:f>
        <x:v>14460</x:v>
      </x:c>
      <x:c r="C52" s="7" t="n">
        <x:f>'Source'!$D$59</x:f>
        <x:v>2024</x:v>
      </x:c>
      <x:c r="D52" s="8" t="n">
        <x:f>'Source'!$N$59</x:f>
        <x:v>768130</x:v>
      </x:c>
      <x:c r="E52" s="8" t="n">
        <x:f>'Source'!$AH$59</x:f>
        <x:v>45035</x:v>
      </x:c>
      <x:c r="F52" s="8" t="n">
        <x:f>D52-E52</x:f>
        <x:v>723095</x:v>
      </x:c>
      <x:c r="G52" s="8" t="n">
        <x:f>SUM('Source'!$Z$59,'Source'!$AB$59,'Source'!$AD$59,'Source'!$AF$59)</x:f>
        <x:v>372582</x:v>
      </x:c>
      <x:c r="H52" s="8" t="n">
        <x:f>'Source'!$AF$59</x:f>
        <x:v>182798</x:v>
      </x:c>
      <x:c r="I52" s="9" t="n">
        <x:f>IF(F52=0,"n.a.",G52/F52)</x:f>
        <x:v>0.5152600972209738</x:v>
      </x:c>
      <x:c r="J52" s="9" t="n">
        <x:f>IF(F52=0,"n.a.",H52/F52)</x:f>
        <x:v>0.2527994246952337</x:v>
      </x:c>
      <x:c r="K52" s="9" t="n">
        <x:f>IF(D52=0,"n.a.",E52/D52)</x:f>
        <x:v>0.05862939866949605</x:v>
      </x:c>
    </x:row>
    <x:row r="53" ht="22" customHeight="1">
      <x:c r="A53" s="6" t="str">
        <x:f>'Source'!$C$60</x:f>
        <x:v>Boulder, CO Metro Area</x:v>
      </x:c>
      <x:c r="B53" s="6" t="str">
        <x:f>'Source'!$B$60</x:f>
        <x:v>14500</x:v>
      </x:c>
      <x:c r="C53" s="7" t="n">
        <x:f>'Source'!$D$60</x:f>
        <x:v>2024</x:v>
      </x:c>
      <x:c r="D53" s="8" t="n">
        <x:f>'Source'!$N$60</x:f>
        <x:v>55386</x:v>
      </x:c>
      <x:c r="E53" s="8" t="n">
        <x:f>'Source'!$AH$60</x:f>
        <x:v>2992</x:v>
      </x:c>
      <x:c r="F53" s="8" t="n">
        <x:f>D53-E53</x:f>
        <x:v>52394</x:v>
      </x:c>
      <x:c r="G53" s="8" t="n">
        <x:f>SUM('Source'!$Z$60,'Source'!$AB$60,'Source'!$AD$60,'Source'!$AF$60)</x:f>
        <x:v>29771</x:v>
      </x:c>
      <x:c r="H53" s="8" t="n">
        <x:f>'Source'!$AF$60</x:f>
        <x:v>16602</x:v>
      </x:c>
      <x:c r="I53" s="9" t="n">
        <x:f>IF(F53=0,"n.a.",G53/F53)</x:f>
        <x:v>0.5682139176241554</x:v>
      </x:c>
      <x:c r="J53" s="9" t="n">
        <x:f>IF(F53=0,"n.a.",H53/F53)</x:f>
        <x:v>0.3168683437034775</x:v>
      </x:c>
      <x:c r="K53" s="9" t="n">
        <x:f>IF(D53=0,"n.a.",E53/D53)</x:f>
        <x:v>0.05402087170042971</x:v>
      </x:c>
    </x:row>
    <x:row r="54" ht="22" customHeight="1">
      <x:c r="A54" s="6" t="str">
        <x:f>'Source'!$C$61</x:f>
        <x:v>Bowling Green, KY Metro Area</x:v>
      </x:c>
      <x:c r="B54" s="6" t="str">
        <x:f>'Source'!$B$61</x:f>
        <x:v>14540</x:v>
      </x:c>
      <x:c r="C54" s="7" t="n">
        <x:f>'Source'!$D$61</x:f>
        <x:v>2024</x:v>
      </x:c>
      <x:c r="D54" s="8" t="n">
        <x:f>'Source'!$N$61</x:f>
        <x:v>32261</x:v>
      </x:c>
      <x:c r="E54" s="8" t="n">
        <x:f>'Source'!$AH$61</x:f>
        <x:v>3255</x:v>
      </x:c>
      <x:c r="F54" s="8" t="n">
        <x:f>D54-E54</x:f>
        <x:v>29006</x:v>
      </x:c>
      <x:c r="G54" s="8" t="n">
        <x:f>SUM('Source'!$Z$61,'Source'!$AB$61,'Source'!$AD$61,'Source'!$AF$61)</x:f>
        <x:v>12800</x:v>
      </x:c>
      <x:c r="H54" s="8" t="n">
        <x:f>'Source'!$AF$61</x:f>
        <x:v>6510</x:v>
      </x:c>
      <x:c r="I54" s="9" t="n">
        <x:f>IF(F54=0,"n.a.",G54/F54)</x:f>
        <x:v>0.44128800937737017</x:v>
      </x:c>
      <x:c r="J54" s="9" t="n">
        <x:f>IF(F54=0,"n.a.",H54/F54)</x:f>
        <x:v>0.22443632351927187</x:v>
      </x:c>
      <x:c r="K54" s="9" t="n">
        <x:f>IF(D54=0,"n.a.",E54/D54)</x:f>
        <x:v>0.10089581848051828</x:v>
      </x:c>
    </x:row>
    <x:row r="55" ht="22" customHeight="1">
      <x:c r="A55" s="6" t="str">
        <x:f>'Source'!$C$62</x:f>
        <x:v>Bozeman, MT Metro Area</x:v>
      </x:c>
      <x:c r="B55" s="6" t="str">
        <x:f>'Source'!$B$62</x:f>
        <x:v>14580</x:v>
      </x:c>
      <x:c r="C55" s="7" t="n">
        <x:f>'Source'!$D$62</x:f>
        <x:v>2024</x:v>
      </x:c>
      <x:c r="D55" s="8" t="n">
        <x:f>'Source'!$N$62</x:f>
        <x:v>22305</x:v>
      </x:c>
      <x:c r="E55" s="8" t="n">
        <x:f>'Source'!$AH$62</x:f>
        <x:v>731</x:v>
      </x:c>
      <x:c r="F55" s="8" t="n">
        <x:f>D55-E55</x:f>
        <x:v>21574</x:v>
      </x:c>
      <x:c r="G55" s="8" t="n">
        <x:f>SUM('Source'!$Z$62,'Source'!$AB$62,'Source'!$AD$62,'Source'!$AF$62)</x:f>
        <x:v>10051</x:v>
      </x:c>
      <x:c r="H55" s="8" t="n">
        <x:f>'Source'!$AF$62</x:f>
        <x:v>5228</x:v>
      </x:c>
      <x:c r="I55" s="9" t="n">
        <x:f>IF(F55=0,"n.a.",G55/F55)</x:f>
        <x:v>0.46588486140724944</x:v>
      </x:c>
      <x:c r="J55" s="9" t="n">
        <x:f>IF(F55=0,"n.a.",H55/F55)</x:f>
        <x:v>0.24232872902567906</x:v>
      </x:c>
      <x:c r="K55" s="9" t="n">
        <x:f>IF(D55=0,"n.a.",E55/D55)</x:f>
        <x:v>0.03277292086976014</x:v>
      </x:c>
    </x:row>
    <x:row r="56" ht="22" customHeight="1">
      <x:c r="A56" s="6" t="str">
        <x:f>'Source'!$C$63</x:f>
        <x:v>Bremerton-Silverdale-Port Orchard, WA Metro Area</x:v>
      </x:c>
      <x:c r="B56" s="6" t="str">
        <x:f>'Source'!$B$63</x:f>
        <x:v>14740</x:v>
      </x:c>
      <x:c r="C56" s="7" t="n">
        <x:f>'Source'!$D$63</x:f>
        <x:v>2024</x:v>
      </x:c>
      <x:c r="D56" s="8" t="n">
        <x:f>'Source'!$N$63</x:f>
        <x:v>35235</x:v>
      </x:c>
      <x:c r="E56" s="8" t="n">
        <x:f>'Source'!$AH$63</x:f>
        <x:v>1618</x:v>
      </x:c>
      <x:c r="F56" s="8" t="n">
        <x:f>D56-E56</x:f>
        <x:v>33617</x:v>
      </x:c>
      <x:c r="G56" s="8" t="n">
        <x:f>SUM('Source'!$Z$63,'Source'!$AB$63,'Source'!$AD$63,'Source'!$AF$63)</x:f>
        <x:v>19317</x:v>
      </x:c>
      <x:c r="H56" s="8" t="n">
        <x:f>'Source'!$AF$63</x:f>
        <x:v>8662</x:v>
      </x:c>
      <x:c r="I56" s="9" t="n">
        <x:f>IF(F56=0,"n.a.",G56/F56)</x:f>
        <x:v>0.5746199839366987</x:v>
      </x:c>
      <x:c r="J56" s="9" t="n">
        <x:f>IF(F56=0,"n.a.",H56/F56)</x:f>
        <x:v>0.257667251688134</x:v>
      </x:c>
      <x:c r="K56" s="9" t="n">
        <x:f>IF(D56=0,"n.a.",E56/D56)</x:f>
        <x:v>0.04592024975166738</x:v>
      </x:c>
    </x:row>
    <x:row r="57" ht="22" customHeight="1">
      <x:c r="A57" s="6" t="str">
        <x:f>'Source'!$C$64</x:f>
        <x:v>Bridgeport-Stamford-Danbury, CT Metro Area</x:v>
      </x:c>
      <x:c r="B57" s="6" t="str">
        <x:f>'Source'!$B$64</x:f>
        <x:v>14860</x:v>
      </x:c>
      <x:c r="C57" s="7" t="n">
        <x:f>'Source'!$D$64</x:f>
        <x:v>2024</x:v>
      </x:c>
      <x:c r="D57" s="8" t="n">
        <x:f>'Source'!$N$64</x:f>
        <x:v>120940</x:v>
      </x:c>
      <x:c r="E57" s="8" t="n">
        <x:f>'Source'!$AH$64</x:f>
        <x:v>5647</x:v>
      </x:c>
      <x:c r="F57" s="8" t="n">
        <x:f>D57-E57</x:f>
        <x:v>115293</x:v>
      </x:c>
      <x:c r="G57" s="8" t="n">
        <x:f>SUM('Source'!$Z$64,'Source'!$AB$64,'Source'!$AD$64,'Source'!$AF$64)</x:f>
        <x:v>65078</x:v>
      </x:c>
      <x:c r="H57" s="8" t="n">
        <x:f>'Source'!$AF$64</x:f>
        <x:v>34958</x:v>
      </x:c>
      <x:c r="I57" s="9" t="n">
        <x:f>IF(F57=0,"n.a.",G57/F57)</x:f>
        <x:v>0.5644575125983364</x:v>
      </x:c>
      <x:c r="J57" s="9" t="n">
        <x:f>IF(F57=0,"n.a.",H57/F57)</x:f>
        <x:v>0.30321008213855133</x:v>
      </x:c>
      <x:c r="K57" s="9" t="n">
        <x:f>IF(D57=0,"n.a.",E57/D57)</x:f>
        <x:v>0.04669257483049446</x:v>
      </x:c>
    </x:row>
    <x:row r="58" ht="22" customHeight="1">
      <x:c r="A58" s="6" t="str">
        <x:f>'Source'!$C$65</x:f>
        <x:v>Brownsville-Harlingen, TX Metro Area</x:v>
      </x:c>
      <x:c r="B58" s="6" t="str">
        <x:f>'Source'!$B$65</x:f>
        <x:v>15180</x:v>
      </x:c>
      <x:c r="C58" s="7" t="n">
        <x:f>'Source'!$D$65</x:f>
        <x:v>2024</x:v>
      </x:c>
      <x:c r="D58" s="8" t="n">
        <x:f>'Source'!$N$65</x:f>
        <x:v>51310</x:v>
      </x:c>
      <x:c r="E58" s="8" t="n">
        <x:f>'Source'!$AH$65</x:f>
        <x:v>5265</x:v>
      </x:c>
      <x:c r="F58" s="8" t="n">
        <x:f>D58-E58</x:f>
        <x:v>46045</x:v>
      </x:c>
      <x:c r="G58" s="8" t="n">
        <x:f>SUM('Source'!$Z$65,'Source'!$AB$65,'Source'!$AD$65,'Source'!$AF$65)</x:f>
        <x:v>24927</x:v>
      </x:c>
      <x:c r="H58" s="8" t="n">
        <x:f>'Source'!$AF$65</x:f>
        <x:v>10086</x:v>
      </x:c>
      <x:c r="I58" s="9" t="n">
        <x:f>IF(F58=0,"n.a.",G58/F58)</x:f>
        <x:v>0.5413617113693127</x:v>
      </x:c>
      <x:c r="J58" s="9" t="n">
        <x:f>IF(F58=0,"n.a.",H58/F58)</x:f>
        <x:v>0.21904658486263437</x:v>
      </x:c>
      <x:c r="K58" s="9" t="n">
        <x:f>IF(D58=0,"n.a.",E58/D58)</x:f>
        <x:v>0.10261157669070356</x:v>
      </x:c>
    </x:row>
    <x:row r="59" ht="22" customHeight="1">
      <x:c r="A59" s="6" t="str">
        <x:f>'Source'!$C$66</x:f>
        <x:v>Brunswick-St. Simons, GA Metro Area</x:v>
      </x:c>
      <x:c r="B59" s="6" t="str">
        <x:f>'Source'!$B$66</x:f>
        <x:v>15260</x:v>
      </x:c>
      <x:c r="C59" s="7" t="n">
        <x:f>'Source'!$D$66</x:f>
        <x:v>2024</x:v>
      </x:c>
      <x:c r="D59" s="8" t="n">
        <x:f>'Source'!$N$66</x:f>
        <x:v>14077</x:v>
      </x:c>
      <x:c r="E59" s="8" t="n">
        <x:f>'Source'!$AH$66</x:f>
        <x:v>2166</x:v>
      </x:c>
      <x:c r="F59" s="8" t="n">
        <x:f>D59-E59</x:f>
        <x:v>11911</x:v>
      </x:c>
      <x:c r="G59" s="8" t="n">
        <x:f>SUM('Source'!$Z$66,'Source'!$AB$66,'Source'!$AD$66,'Source'!$AF$66)</x:f>
        <x:v>4908</x:v>
      </x:c>
      <x:c r="H59" s="8" t="n">
        <x:f>'Source'!$AF$66</x:f>
        <x:v>2821</x:v>
      </x:c>
      <x:c r="I59" s="9" t="n">
        <x:f>IF(F59=0,"n.a.",G59/F59)</x:f>
        <x:v>0.4120560826127109</x:v>
      </x:c>
      <x:c r="J59" s="9" t="n">
        <x:f>IF(F59=0,"n.a.",H59/F59)</x:f>
        <x:v>0.23683989589455126</x:v>
      </x:c>
      <x:c r="K59" s="9" t="n">
        <x:f>IF(D59=0,"n.a.",E59/D59)</x:f>
        <x:v>0.15386801165020955</x:v>
      </x:c>
    </x:row>
    <x:row r="60" ht="22" customHeight="1">
      <x:c r="A60" s="6" t="str">
        <x:f>'Source'!$C$67</x:f>
        <x:v>Buffalo-Cheektowaga, NY Metro Area</x:v>
      </x:c>
      <x:c r="B60" s="6" t="str">
        <x:f>'Source'!$B$67</x:f>
        <x:v>15380</x:v>
      </x:c>
      <x:c r="C60" s="7" t="n">
        <x:f>'Source'!$D$67</x:f>
        <x:v>2024</x:v>
      </x:c>
      <x:c r="D60" s="8" t="n">
        <x:f>'Source'!$N$67</x:f>
        <x:v>157396</x:v>
      </x:c>
      <x:c r="E60" s="8" t="n">
        <x:f>'Source'!$AH$67</x:f>
        <x:v>9944</x:v>
      </x:c>
      <x:c r="F60" s="8" t="n">
        <x:f>D60-E60</x:f>
        <x:v>147452</x:v>
      </x:c>
      <x:c r="G60" s="8" t="n">
        <x:f>SUM('Source'!$Z$67,'Source'!$AB$67,'Source'!$AD$67,'Source'!$AF$67)</x:f>
        <x:v>71120</x:v>
      </x:c>
      <x:c r="H60" s="8" t="n">
        <x:f>'Source'!$AF$67</x:f>
        <x:v>39966</x:v>
      </x:c>
      <x:c r="I60" s="9" t="n">
        <x:f>IF(F60=0,"n.a.",G60/F60)</x:f>
        <x:v>0.48232645199793833</x:v>
      </x:c>
      <x:c r="J60" s="9" t="n">
        <x:f>IF(F60=0,"n.a.",H60/F60)</x:f>
        <x:v>0.27104413639692915</x:v>
      </x:c>
      <x:c r="K60" s="9" t="n">
        <x:f>IF(D60=0,"n.a.",E60/D60)</x:f>
        <x:v>0.06317822562199801</x:v>
      </x:c>
    </x:row>
    <x:row r="61" ht="22" customHeight="1">
      <x:c r="A61" s="6" t="str">
        <x:f>'Source'!$C$68</x:f>
        <x:v>Burlington, NC Metro Area</x:v>
      </x:c>
      <x:c r="B61" s="6" t="str">
        <x:f>'Source'!$B$68</x:f>
        <x:v>15500</x:v>
      </x:c>
      <x:c r="C61" s="7" t="n">
        <x:f>'Source'!$D$68</x:f>
        <x:v>2024</x:v>
      </x:c>
      <x:c r="D61" s="8" t="n">
        <x:f>'Source'!$N$68</x:f>
        <x:v>26679</x:v>
      </x:c>
      <x:c r="E61" s="8" t="n">
        <x:f>'Source'!$AH$68</x:f>
        <x:v>2265</x:v>
      </x:c>
      <x:c r="F61" s="8" t="n">
        <x:f>D61-E61</x:f>
        <x:v>24414</x:v>
      </x:c>
      <x:c r="G61" s="8" t="n">
        <x:f>SUM('Source'!$Z$68,'Source'!$AB$68,'Source'!$AD$68,'Source'!$AF$68)</x:f>
        <x:v>12124</x:v>
      </x:c>
      <x:c r="H61" s="8" t="n">
        <x:f>'Source'!$AF$68</x:f>
        <x:v>5047</x:v>
      </x:c>
      <x:c r="I61" s="9" t="n">
        <x:f>IF(F61=0,"n.a.",G61/F61)</x:f>
        <x:v>0.49660031129679694</x:v>
      </x:c>
      <x:c r="J61" s="9" t="n">
        <x:f>IF(F61=0,"n.a.",H61/F61)</x:f>
        <x:v>0.206725649217662</x:v>
      </x:c>
      <x:c r="K61" s="9" t="n">
        <x:f>IF(D61=0,"n.a.",E61/D61)</x:f>
        <x:v>0.08489823456651299</x:v>
      </x:c>
    </x:row>
    <x:row r="62" ht="22" customHeight="1">
      <x:c r="A62" s="6" t="str">
        <x:f>'Source'!$C$69</x:f>
        <x:v>Burlington-South Burlington, VT Metro Area</x:v>
      </x:c>
      <x:c r="B62" s="6" t="str">
        <x:f>'Source'!$B$69</x:f>
        <x:v>15540</x:v>
      </x:c>
      <x:c r="C62" s="7" t="n">
        <x:f>'Source'!$D$69</x:f>
        <x:v>2024</x:v>
      </x:c>
      <x:c r="D62" s="8" t="n">
        <x:f>'Source'!$N$69</x:f>
        <x:v>31596</x:v>
      </x:c>
      <x:c r="E62" s="8" t="n">
        <x:f>'Source'!$AH$69</x:f>
        <x:v>1106</x:v>
      </x:c>
      <x:c r="F62" s="8" t="n">
        <x:f>D62-E62</x:f>
        <x:v>30490</x:v>
      </x:c>
      <x:c r="G62" s="8" t="n">
        <x:f>SUM('Source'!$Z$69,'Source'!$AB$69,'Source'!$AD$69,'Source'!$AF$69)</x:f>
        <x:v>14652</x:v>
      </x:c>
      <x:c r="H62" s="8" t="n">
        <x:f>'Source'!$AF$69</x:f>
        <x:v>7196</x:v>
      </x:c>
      <x:c r="I62" s="9" t="n">
        <x:f>IF(F62=0,"n.a.",G62/F62)</x:f>
        <x:v>0.4805510003279764</x:v>
      </x:c>
      <x:c r="J62" s="9" t="n">
        <x:f>IF(F62=0,"n.a.",H62/F62)</x:f>
        <x:v>0.2360118071498852</x:v>
      </x:c>
      <x:c r="K62" s="9" t="n">
        <x:f>IF(D62=0,"n.a.",E62/D62)</x:f>
        <x:v>0.03500443094062539</x:v>
      </x:c>
    </x:row>
    <x:row r="63" ht="22" customHeight="1">
      <x:c r="A63" s="6" t="str">
        <x:f>'Source'!$C$70</x:f>
        <x:v>Canton-Massillon, OH Metro Area</x:v>
      </x:c>
      <x:c r="B63" s="6" t="str">
        <x:f>'Source'!$B$70</x:f>
        <x:v>15940</x:v>
      </x:c>
      <x:c r="C63" s="7" t="n">
        <x:f>'Source'!$D$70</x:f>
        <x:v>2024</x:v>
      </x:c>
      <x:c r="D63" s="8" t="n">
        <x:f>'Source'!$N$70</x:f>
        <x:v>47145</x:v>
      </x:c>
      <x:c r="E63" s="8" t="n">
        <x:f>'Source'!$AH$70</x:f>
        <x:v>5222</x:v>
      </x:c>
      <x:c r="F63" s="8" t="n">
        <x:f>D63-E63</x:f>
        <x:v>41923</x:v>
      </x:c>
      <x:c r="G63" s="8" t="n">
        <x:f>SUM('Source'!$Z$70,'Source'!$AB$70,'Source'!$AD$70,'Source'!$AF$70)</x:f>
        <x:v>16442</x:v>
      </x:c>
      <x:c r="H63" s="8" t="n">
        <x:f>'Source'!$AF$70</x:f>
        <x:v>8713</x:v>
      </x:c>
      <x:c r="I63" s="9" t="n">
        <x:f>IF(F63=0,"n.a.",G63/F63)</x:f>
        <x:v>0.3921952150370918</x:v>
      </x:c>
      <x:c r="J63" s="9" t="n">
        <x:f>IF(F63=0,"n.a.",H63/F63)</x:f>
        <x:v>0.20783340886864013</x:v>
      </x:c>
      <x:c r="K63" s="9" t="n">
        <x:f>IF(D63=0,"n.a.",E63/D63)</x:f>
        <x:v>0.11076466221232369</x:v>
      </x:c>
    </x:row>
    <x:row r="64" ht="22" customHeight="1">
      <x:c r="A64" s="6" t="str">
        <x:f>'Source'!$C$71</x:f>
        <x:v>Cape Coral-Fort Myers, FL Metro Area</x:v>
      </x:c>
      <x:c r="B64" s="6" t="str">
        <x:f>'Source'!$B$71</x:f>
        <x:v>15980</x:v>
      </x:c>
      <x:c r="C64" s="7" t="n">
        <x:f>'Source'!$D$71</x:f>
        <x:v>2024</x:v>
      </x:c>
      <x:c r="D64" s="8" t="n">
        <x:f>'Source'!$N$71</x:f>
        <x:v>79414</x:v>
      </x:c>
      <x:c r="E64" s="8" t="n">
        <x:f>'Source'!$AH$71</x:f>
        <x:v>3983</x:v>
      </x:c>
      <x:c r="F64" s="8" t="n">
        <x:f>D64-E64</x:f>
        <x:v>75431</x:v>
      </x:c>
      <x:c r="G64" s="8" t="n">
        <x:f>SUM('Source'!$Z$71,'Source'!$AB$71,'Source'!$AD$71,'Source'!$AF$71)</x:f>
        <x:v>43864</x:v>
      </x:c>
      <x:c r="H64" s="8" t="n">
        <x:f>'Source'!$AF$71</x:f>
        <x:v>23715</x:v>
      </x:c>
      <x:c r="I64" s="9" t="n">
        <x:f>IF(F64=0,"n.a.",G64/F64)</x:f>
        <x:v>0.5815115801195795</x:v>
      </x:c>
      <x:c r="J64" s="9" t="n">
        <x:f>IF(F64=0,"n.a.",H64/F64)</x:f>
        <x:v>0.31439328657978816</x:v>
      </x:c>
      <x:c r="K64" s="9" t="n">
        <x:f>IF(D64=0,"n.a.",E64/D64)</x:f>
        <x:v>0.050154884529176214</x:v>
      </x:c>
    </x:row>
    <x:row r="65" ht="22" customHeight="1">
      <x:c r="A65" s="6" t="str">
        <x:f>'Source'!$C$72</x:f>
        <x:v>Cape Girardeau, MO-IL Metro Area</x:v>
      </x:c>
      <x:c r="B65" s="6" t="str">
        <x:f>'Source'!$B$72</x:f>
        <x:v>16020</x:v>
      </x:c>
      <x:c r="C65" s="7" t="n">
        <x:f>'Source'!$D$72</x:f>
        <x:v>2024</x:v>
      </x:c>
      <x:c r="D65" s="8" t="n">
        <x:f>'Source'!$N$72</x:f>
        <x:v>10243</x:v>
      </x:c>
      <x:c r="E65" s="8" t="n">
        <x:f>'Source'!$AH$72</x:f>
        <x:v>1430</x:v>
      </x:c>
      <x:c r="F65" s="8" t="n">
        <x:f>D65-E65</x:f>
        <x:v>8813</x:v>
      </x:c>
      <x:c r="G65" s="8" t="n">
        <x:f>SUM('Source'!$Z$72,'Source'!$AB$72,'Source'!$AD$72,'Source'!$AF$72)</x:f>
        <x:v>3518</x:v>
      </x:c>
      <x:c r="H65" s="8" t="n">
        <x:f>'Source'!$AF$72</x:f>
        <x:v>1676</x:v>
      </x:c>
      <x:c r="I65" s="9" t="n">
        <x:f>IF(F65=0,"n.a.",G65/F65)</x:f>
        <x:v>0.3991830250765914</x:v>
      </x:c>
      <x:c r="J65" s="9" t="n">
        <x:f>IF(F65=0,"n.a.",H65/F65)</x:f>
        <x:v>0.19017360717122433</x:v>
      </x:c>
      <x:c r="K65" s="9" t="n">
        <x:f>IF(D65=0,"n.a.",E65/D65)</x:f>
        <x:v>0.13960753685443716</x:v>
      </x:c>
    </x:row>
    <x:row r="66" ht="22" customHeight="1">
      <x:c r="A66" s="6" t="str">
        <x:f>'Source'!$C$73</x:f>
        <x:v>Carson City, NV Metro Area</x:v>
      </x:c>
      <x:c r="B66" s="6" t="str">
        <x:f>'Source'!$B$73</x:f>
        <x:v>16180</x:v>
      </x:c>
      <x:c r="C66" s="7" t="n">
        <x:f>'Source'!$D$73</x:f>
        <x:v>2024</x:v>
      </x:c>
      <x:c r="D66" s="8" t="n">
        <x:f>'Source'!$N$73</x:f>
        <x:v>9845</x:v>
      </x:c>
      <x:c r="E66" s="8" t="n">
        <x:f>'Source'!$AH$73</x:f>
        <x:v>452</x:v>
      </x:c>
      <x:c r="F66" s="8" t="n">
        <x:f>D66-E66</x:f>
        <x:v>9393</x:v>
      </x:c>
      <x:c r="G66" s="8" t="n">
        <x:f>SUM('Source'!$Z$73,'Source'!$AB$73,'Source'!$AD$73,'Source'!$AF$73)</x:f>
        <x:v>5099</x:v>
      </x:c>
      <x:c r="H66" s="8" t="n">
        <x:f>'Source'!$AF$73</x:f>
        <x:v>2322</x:v>
      </x:c>
      <x:c r="I66" s="9" t="n">
        <x:f>IF(F66=0,"n.a.",G66/F66)</x:f>
        <x:v>0.5428510592994783</x:v>
      </x:c>
      <x:c r="J66" s="9" t="n">
        <x:f>IF(F66=0,"n.a.",H66/F66)</x:f>
        <x:v>0.2472053656978601</x:v>
      </x:c>
      <x:c r="K66" s="9" t="n">
        <x:f>IF(D66=0,"n.a.",E66/D66)</x:f>
        <x:v>0.045911630269172166</x:v>
      </x:c>
    </x:row>
    <x:row r="67" ht="22" customHeight="1">
      <x:c r="A67" s="6" t="str">
        <x:f>'Source'!$C$74</x:f>
        <x:v>Casper, WY Metro Area</x:v>
      </x:c>
      <x:c r="B67" s="6" t="str">
        <x:f>'Source'!$B$74</x:f>
        <x:v>16220</x:v>
      </x:c>
      <x:c r="C67" s="7" t="n">
        <x:f>'Source'!$D$74</x:f>
        <x:v>2024</x:v>
      </x:c>
      <x:c r="D67" s="8" t="n">
        <x:f>'Source'!$N$74</x:f>
        <x:v>9982</x:v>
      </x:c>
      <x:c r="E67" s="8" t="n">
        <x:f>'Source'!$AH$74</x:f>
        <x:v>528</x:v>
      </x:c>
      <x:c r="F67" s="8" t="n">
        <x:f>D67-E67</x:f>
        <x:v>9454</x:v>
      </x:c>
      <x:c r="G67" s="8" t="n">
        <x:f>SUM('Source'!$Z$74,'Source'!$AB$74,'Source'!$AD$74,'Source'!$AF$74)</x:f>
        <x:v>4474</x:v>
      </x:c>
      <x:c r="H67" s="8" t="n">
        <x:f>'Source'!$AF$74</x:f>
        <x:v>2031</x:v>
      </x:c>
      <x:c r="I67" s="9" t="n">
        <x:f>IF(F67=0,"n.a.",G67/F67)</x:f>
        <x:v>0.47323884070234823</x:v>
      </x:c>
      <x:c r="J67" s="9" t="n">
        <x:f>IF(F67=0,"n.a.",H67/F67)</x:f>
        <x:v>0.2148297017135604</x:v>
      </x:c>
      <x:c r="K67" s="9" t="n">
        <x:f>IF(D67=0,"n.a.",E67/D67)</x:f>
        <x:v>0.05289521138048487</x:v>
      </x:c>
    </x:row>
    <x:row r="68" ht="22" customHeight="1">
      <x:c r="A68" s="6" t="str">
        <x:f>'Source'!$C$75</x:f>
        <x:v>Cedar Rapids, IA Metro Area</x:v>
      </x:c>
      <x:c r="B68" s="6" t="str">
        <x:f>'Source'!$B$75</x:f>
        <x:v>16300</x:v>
      </x:c>
      <x:c r="C68" s="7" t="n">
        <x:f>'Source'!$D$75</x:f>
        <x:v>2024</x:v>
      </x:c>
      <x:c r="D68" s="8" t="n">
        <x:f>'Source'!$N$75</x:f>
        <x:v>31149</x:v>
      </x:c>
      <x:c r="E68" s="8" t="n">
        <x:f>'Source'!$AH$75</x:f>
        <x:v>2470</x:v>
      </x:c>
      <x:c r="F68" s="8" t="n">
        <x:f>D68-E68</x:f>
        <x:v>28679</x:v>
      </x:c>
      <x:c r="G68" s="8" t="n">
        <x:f>SUM('Source'!$Z$75,'Source'!$AB$75,'Source'!$AD$75,'Source'!$AF$75)</x:f>
        <x:v>13171</x:v>
      </x:c>
      <x:c r="H68" s="8" t="n">
        <x:f>'Source'!$AF$75</x:f>
        <x:v>5512</x:v>
      </x:c>
      <x:c r="I68" s="9" t="n">
        <x:f>IF(F68=0,"n.a.",G68/F68)</x:f>
        <x:v>0.45925590153073675</x:v>
      </x:c>
      <x:c r="J68" s="9" t="n">
        <x:f>IF(F68=0,"n.a.",H68/F68)</x:f>
        <x:v>0.19219638062693958</x:v>
      </x:c>
      <x:c r="K68" s="9" t="n">
        <x:f>IF(D68=0,"n.a.",E68/D68)</x:f>
        <x:v>0.07929628559504318</x:v>
      </x:c>
    </x:row>
    <x:row r="69" ht="22" customHeight="1">
      <x:c r="A69" s="6" t="str">
        <x:f>'Source'!$C$76</x:f>
        <x:v>Chambersburg, PA Metro Area</x:v>
      </x:c>
      <x:c r="B69" s="6" t="str">
        <x:f>'Source'!$B$76</x:f>
        <x:v>16540</x:v>
      </x:c>
      <x:c r="C69" s="7" t="n">
        <x:f>'Source'!$D$76</x:f>
        <x:v>2024</x:v>
      </x:c>
      <x:c r="D69" s="8" t="n">
        <x:f>'Source'!$N$76</x:f>
        <x:v>17296</x:v>
      </x:c>
      <x:c r="E69" s="8" t="n">
        <x:f>'Source'!$AH$76</x:f>
        <x:v>1209</x:v>
      </x:c>
      <x:c r="F69" s="8" t="n">
        <x:f>D69-E69</x:f>
        <x:v>16087</x:v>
      </x:c>
      <x:c r="G69" s="8" t="n">
        <x:f>SUM('Source'!$Z$76,'Source'!$AB$76,'Source'!$AD$76,'Source'!$AF$76)</x:f>
        <x:v>8092</x:v>
      </x:c>
      <x:c r="H69" s="8" t="n">
        <x:f>'Source'!$AF$76</x:f>
        <x:v>2745</x:v>
      </x:c>
      <x:c r="I69" s="9" t="n">
        <x:f>IF(F69=0,"n.a.",G69/F69)</x:f>
        <x:v>0.5030148567166035</x:v>
      </x:c>
      <x:c r="J69" s="9" t="n">
        <x:f>IF(F69=0,"n.a.",H69/F69)</x:f>
        <x:v>0.17063467396034065</x:v>
      </x:c>
      <x:c r="K69" s="9" t="n">
        <x:f>IF(D69=0,"n.a.",E69/D69)</x:f>
        <x:v>0.06990055504162812</x:v>
      </x:c>
    </x:row>
    <x:row r="70" ht="22" customHeight="1">
      <x:c r="A70" s="6" t="str">
        <x:f>'Source'!$C$77</x:f>
        <x:v>Champaign-Urbana, IL Metro Area</x:v>
      </x:c>
      <x:c r="B70" s="6" t="str">
        <x:f>'Source'!$B$77</x:f>
        <x:v>16580</x:v>
      </x:c>
      <x:c r="C70" s="7" t="n">
        <x:f>'Source'!$D$77</x:f>
        <x:v>2024</x:v>
      </x:c>
      <x:c r="D70" s="8" t="n">
        <x:f>'Source'!$N$77</x:f>
        <x:v>45328</x:v>
      </x:c>
      <x:c r="E70" s="8" t="n">
        <x:f>'Source'!$AH$77</x:f>
        <x:v>6652</x:v>
      </x:c>
      <x:c r="F70" s="8" t="n">
        <x:f>D70-E70</x:f>
        <x:v>38676</x:v>
      </x:c>
      <x:c r="G70" s="8" t="n">
        <x:f>SUM('Source'!$Z$77,'Source'!$AB$77,'Source'!$AD$77,'Source'!$AF$77)</x:f>
        <x:v>19780</x:v>
      </x:c>
      <x:c r="H70" s="8" t="n">
        <x:f>'Source'!$AF$77</x:f>
        <x:v>10307</x:v>
      </x:c>
      <x:c r="I70" s="9" t="n">
        <x:f>IF(F70=0,"n.a.",G70/F70)</x:f>
        <x:v>0.5114282759333953</x:v>
      </x:c>
      <x:c r="J70" s="9" t="n">
        <x:f>IF(F70=0,"n.a.",H70/F70)</x:f>
        <x:v>0.26649601820250285</x:v>
      </x:c>
      <x:c r="K70" s="9" t="n">
        <x:f>IF(D70=0,"n.a.",E70/D70)</x:f>
        <x:v>0.1467525591246029</x:v>
      </x:c>
    </x:row>
    <x:row r="71" ht="22" customHeight="1">
      <x:c r="A71" s="6" t="str">
        <x:f>'Source'!$C$78</x:f>
        <x:v>Charleston, WV Metro Area</x:v>
      </x:c>
      <x:c r="B71" s="6" t="str">
        <x:f>'Source'!$B$78</x:f>
        <x:v>16620</x:v>
      </x:c>
      <x:c r="C71" s="7" t="n">
        <x:f>'Source'!$D$78</x:f>
        <x:v>2024</x:v>
      </x:c>
      <x:c r="D71" s="8" t="n">
        <x:f>'Source'!$N$78</x:f>
        <x:v>21246</x:v>
      </x:c>
      <x:c r="E71" s="8" t="n">
        <x:f>'Source'!$AH$78</x:f>
        <x:v>2229</x:v>
      </x:c>
      <x:c r="F71" s="8" t="n">
        <x:f>D71-E71</x:f>
        <x:v>19017</x:v>
      </x:c>
      <x:c r="G71" s="8" t="n">
        <x:f>SUM('Source'!$Z$78,'Source'!$AB$78,'Source'!$AD$78,'Source'!$AF$78)</x:f>
        <x:v>8281</x:v>
      </x:c>
      <x:c r="H71" s="8" t="n">
        <x:f>'Source'!$AF$78</x:f>
        <x:v>4015</x:v>
      </x:c>
      <x:c r="I71" s="9" t="n">
        <x:f>IF(F71=0,"n.a.",G71/F71)</x:f>
        <x:v>0.43545248987747803</x:v>
      </x:c>
      <x:c r="J71" s="9" t="n">
        <x:f>IF(F71=0,"n.a.",H71/F71)</x:f>
        <x:v>0.21112688647000052</x:v>
      </x:c>
      <x:c r="K71" s="9" t="n">
        <x:f>IF(D71=0,"n.a.",E71/D71)</x:f>
        <x:v>0.10491386613950861</x:v>
      </x:c>
    </x:row>
    <x:row r="72" ht="22" customHeight="1">
      <x:c r="A72" s="6" t="str">
        <x:f>'Source'!$C$79</x:f>
        <x:v>Charleston-North Charleston, SC Metro Area</x:v>
      </x:c>
      <x:c r="B72" s="6" t="str">
        <x:f>'Source'!$B$79</x:f>
        <x:v>16700</x:v>
      </x:c>
      <x:c r="C72" s="7" t="n">
        <x:f>'Source'!$D$79</x:f>
        <x:v>2024</x:v>
      </x:c>
      <x:c r="D72" s="8" t="n">
        <x:f>'Source'!$N$79</x:f>
        <x:v>107060</x:v>
      </x:c>
      <x:c r="E72" s="8" t="n">
        <x:f>'Source'!$AH$79</x:f>
        <x:v>5946</x:v>
      </x:c>
      <x:c r="F72" s="8" t="n">
        <x:f>D72-E72</x:f>
        <x:v>101114</x:v>
      </x:c>
      <x:c r="G72" s="8" t="n">
        <x:f>SUM('Source'!$Z$79,'Source'!$AB$79,'Source'!$AD$79,'Source'!$AF$79)</x:f>
        <x:v>55770</x:v>
      </x:c>
      <x:c r="H72" s="8" t="n">
        <x:f>'Source'!$AF$79</x:f>
        <x:v>26607</x:v>
      </x:c>
      <x:c r="I72" s="9" t="n">
        <x:f>IF(F72=0,"n.a.",G72/F72)</x:f>
        <x:v>0.5515556698380046</x:v>
      </x:c>
      <x:c r="J72" s="9" t="n">
        <x:f>IF(F72=0,"n.a.",H72/F72)</x:f>
        <x:v>0.2631386355994224</x:v>
      </x:c>
      <x:c r="K72" s="9" t="n">
        <x:f>IF(D72=0,"n.a.",E72/D72)</x:f>
        <x:v>0.05553895012142724</x:v>
      </x:c>
    </x:row>
    <x:row r="73" ht="22" customHeight="1">
      <x:c r="A73" s="6" t="str">
        <x:f>'Source'!$C$80</x:f>
        <x:v>Charlotte-Concord-Gastonia, NC-SC Metro Area</x:v>
      </x:c>
      <x:c r="B73" s="6" t="str">
        <x:f>'Source'!$B$80</x:f>
        <x:v>16740</x:v>
      </x:c>
      <x:c r="C73" s="7" t="n">
        <x:f>'Source'!$D$80</x:f>
        <x:v>2024</x:v>
      </x:c>
      <x:c r="D73" s="8" t="n">
        <x:f>'Source'!$N$80</x:f>
        <x:v>383002</x:v>
      </x:c>
      <x:c r="E73" s="8" t="n">
        <x:f>'Source'!$AH$80</x:f>
        <x:v>22533</x:v>
      </x:c>
      <x:c r="F73" s="8" t="n">
        <x:f>D73-E73</x:f>
        <x:v>360469</x:v>
      </x:c>
      <x:c r="G73" s="8" t="n">
        <x:f>SUM('Source'!$Z$80,'Source'!$AB$80,'Source'!$AD$80,'Source'!$AF$80)</x:f>
        <x:v>180002</x:v>
      </x:c>
      <x:c r="H73" s="8" t="n">
        <x:f>'Source'!$AF$80</x:f>
        <x:v>88229</x:v>
      </x:c>
      <x:c r="I73" s="9" t="n">
        <x:f>IF(F73=0,"n.a.",G73/F73)</x:f>
        <x:v>0.49935500694928</x:v>
      </x:c>
      <x:c r="J73" s="9" t="n">
        <x:f>IF(F73=0,"n.a.",H73/F73)</x:f>
        <x:v>0.24476168547087268</x:v>
      </x:c>
      <x:c r="K73" s="9" t="n">
        <x:f>IF(D73=0,"n.a.",E73/D73)</x:f>
        <x:v>0.058832590952527665</x:v>
      </x:c>
    </x:row>
    <x:row r="74" ht="22" customHeight="1">
      <x:c r="A74" s="6" t="str">
        <x:f>'Source'!$C$81</x:f>
        <x:v>Charlottesville, VA Metro Area</x:v>
      </x:c>
      <x:c r="B74" s="6" t="str">
        <x:f>'Source'!$B$81</x:f>
        <x:v>16820</x:v>
      </x:c>
      <x:c r="C74" s="7" t="n">
        <x:f>'Source'!$D$81</x:f>
        <x:v>2024</x:v>
      </x:c>
      <x:c r="D74" s="8" t="n">
        <x:f>'Source'!$N$81</x:f>
        <x:v>29484</x:v>
      </x:c>
      <x:c r="E74" s="8" t="n">
        <x:f>'Source'!$AH$81</x:f>
        <x:v>2112</x:v>
      </x:c>
      <x:c r="F74" s="8" t="n">
        <x:f>D74-E74</x:f>
        <x:v>27372</x:v>
      </x:c>
      <x:c r="G74" s="8" t="n">
        <x:f>SUM('Source'!$Z$81,'Source'!$AB$81,'Source'!$AD$81,'Source'!$AF$81)</x:f>
        <x:v>13561</x:v>
      </x:c>
      <x:c r="H74" s="8" t="n">
        <x:f>'Source'!$AF$81</x:f>
        <x:v>7063</x:v>
      </x:c>
      <x:c r="I74" s="9" t="n">
        <x:f>IF(F74=0,"n.a.",G74/F74)</x:f>
        <x:v>0.4954332894929125</x:v>
      </x:c>
      <x:c r="J74" s="9" t="n">
        <x:f>IF(F74=0,"n.a.",H74/F74)</x:f>
        <x:v>0.2580374104924741</x:v>
      </x:c>
      <x:c r="K74" s="9" t="n">
        <x:f>IF(D74=0,"n.a.",E74/D74)</x:f>
        <x:v>0.07163207163207164</x:v>
      </x:c>
    </x:row>
    <x:row r="75" ht="22" customHeight="1">
      <x:c r="A75" s="6" t="str">
        <x:f>'Source'!$C$82</x:f>
        <x:v>Chattanooga, TN-GA Metro Area</x:v>
      </x:c>
      <x:c r="B75" s="6" t="str">
        <x:f>'Source'!$B$82</x:f>
        <x:v>16860</x:v>
      </x:c>
      <x:c r="C75" s="7" t="n">
        <x:f>'Source'!$D$82</x:f>
        <x:v>2024</x:v>
      </x:c>
      <x:c r="D75" s="8" t="n">
        <x:f>'Source'!$N$82</x:f>
        <x:v>80138</x:v>
      </x:c>
      <x:c r="E75" s="8" t="n">
        <x:f>'Source'!$AH$82</x:f>
        <x:v>7414</x:v>
      </x:c>
      <x:c r="F75" s="8" t="n">
        <x:f>D75-E75</x:f>
        <x:v>72724</x:v>
      </x:c>
      <x:c r="G75" s="8" t="n">
        <x:f>SUM('Source'!$Z$82,'Source'!$AB$82,'Source'!$AD$82,'Source'!$AF$82)</x:f>
        <x:v>34121</x:v>
      </x:c>
      <x:c r="H75" s="8" t="n">
        <x:f>'Source'!$AF$82</x:f>
        <x:v>18214</x:v>
      </x:c>
      <x:c r="I75" s="9" t="n">
        <x:f>IF(F75=0,"n.a.",G75/F75)</x:f>
        <x:v>0.46918486331884934</x:v>
      </x:c>
      <x:c r="J75" s="9" t="n">
        <x:f>IF(F75=0,"n.a.",H75/F75)</x:f>
        <x:v>0.2504537704196689</x:v>
      </x:c>
      <x:c r="K75" s="9" t="n">
        <x:f>IF(D75=0,"n.a.",E75/D75)</x:f>
        <x:v>0.0925154109161696</x:v>
      </x:c>
    </x:row>
    <x:row r="76" ht="22" customHeight="1">
      <x:c r="A76" s="6" t="str">
        <x:f>'Source'!$C$83</x:f>
        <x:v>Cheyenne, WY Metro Area</x:v>
      </x:c>
      <x:c r="B76" s="6" t="str">
        <x:f>'Source'!$B$83</x:f>
        <x:v>16940</x:v>
      </x:c>
      <x:c r="C76" s="7" t="n">
        <x:f>'Source'!$D$83</x:f>
        <x:v>2024</x:v>
      </x:c>
      <x:c r="D76" s="8" t="n">
        <x:f>'Source'!$N$83</x:f>
        <x:v>15157</x:v>
      </x:c>
      <x:c r="E76" s="8" t="n">
        <x:f>'Source'!$AH$83</x:f>
        <x:v>1652</x:v>
      </x:c>
      <x:c r="F76" s="8" t="n">
        <x:f>D76-E76</x:f>
        <x:v>13505</x:v>
      </x:c>
      <x:c r="G76" s="8" t="n">
        <x:f>SUM('Source'!$Z$83,'Source'!$AB$83,'Source'!$AD$83,'Source'!$AF$83)</x:f>
        <x:v>6344</x:v>
      </x:c>
      <x:c r="H76" s="8" t="n">
        <x:f>'Source'!$AF$83</x:f>
        <x:v>2773</x:v>
      </x:c>
      <x:c r="I76" s="9" t="n">
        <x:f>IF(F76=0,"n.a.",G76/F76)</x:f>
        <x:v>0.4697519437245465</x:v>
      </x:c>
      <x:c r="J76" s="9" t="n">
        <x:f>IF(F76=0,"n.a.",H76/F76)</x:f>
        <x:v>0.2053313587560163</x:v>
      </x:c>
      <x:c r="K76" s="9" t="n">
        <x:f>IF(D76=0,"n.a.",E76/D76)</x:f>
        <x:v>0.10899254469881903</x:v>
      </x:c>
    </x:row>
    <x:row r="77" ht="22" customHeight="1">
      <x:c r="A77" s="6" t="str">
        <x:f>'Source'!$C$84</x:f>
        <x:v>Chicago-Naperville-Elgin, IL-IN Metro Area</x:v>
      </x:c>
      <x:c r="B77" s="6" t="str">
        <x:f>'Source'!$B$84</x:f>
        <x:v>16980</x:v>
      </x:c>
      <x:c r="C77" s="7" t="n">
        <x:f>'Source'!$D$84</x:f>
        <x:v>2024</x:v>
      </x:c>
      <x:c r="D77" s="8" t="n">
        <x:f>'Source'!$N$84</x:f>
        <x:v>1260204</x:v>
      </x:c>
      <x:c r="E77" s="8" t="n">
        <x:f>'Source'!$AH$84</x:f>
        <x:v>73227</x:v>
      </x:c>
      <x:c r="F77" s="8" t="n">
        <x:f>D77-E77</x:f>
        <x:v>1186977</x:v>
      </x:c>
      <x:c r="G77" s="8" t="n">
        <x:f>SUM('Source'!$Z$84,'Source'!$AB$84,'Source'!$AD$84,'Source'!$AF$84)</x:f>
        <x:v>598924</x:v>
      </x:c>
      <x:c r="H77" s="8" t="n">
        <x:f>'Source'!$AF$84</x:f>
        <x:v>307410</x:v>
      </x:c>
      <x:c r="I77" s="9" t="n">
        <x:f>IF(F77=0,"n.a.",G77/F77)</x:f>
        <x:v>0.504579279969199</x:v>
      </x:c>
      <x:c r="J77" s="9" t="n">
        <x:f>IF(F77=0,"n.a.",H77/F77)</x:f>
        <x:v>0.25898564167629196</x:v>
      </x:c>
      <x:c r="K77" s="9" t="n">
        <x:f>IF(D77=0,"n.a.",E77/D77)</x:f>
        <x:v>0.058107258824761705</x:v>
      </x:c>
    </x:row>
    <x:row r="78" ht="22" customHeight="1">
      <x:c r="A78" s="6" t="str">
        <x:f>'Source'!$C$85</x:f>
        <x:v>Chico, CA Metro Area</x:v>
      </x:c>
      <x:c r="B78" s="6" t="str">
        <x:f>'Source'!$B$85</x:f>
        <x:v>17020</x:v>
      </x:c>
      <x:c r="C78" s="7" t="n">
        <x:f>'Source'!$D$85</x:f>
        <x:v>2024</x:v>
      </x:c>
      <x:c r="D78" s="8" t="n">
        <x:f>'Source'!$N$85</x:f>
        <x:v>39410</x:v>
      </x:c>
      <x:c r="E78" s="8" t="n">
        <x:f>'Source'!$AH$85</x:f>
        <x:v>2304</x:v>
      </x:c>
      <x:c r="F78" s="8" t="n">
        <x:f>D78-E78</x:f>
        <x:v>37106</x:v>
      </x:c>
      <x:c r="G78" s="8" t="n">
        <x:f>SUM('Source'!$Z$85,'Source'!$AB$85,'Source'!$AD$85,'Source'!$AF$85)</x:f>
        <x:v>22044</x:v>
      </x:c>
      <x:c r="H78" s="8" t="n">
        <x:f>'Source'!$AF$85</x:f>
        <x:v>12959</x:v>
      </x:c>
      <x:c r="I78" s="9" t="n">
        <x:f>IF(F78=0,"n.a.",G78/F78)</x:f>
        <x:v>0.5940818196518083</x:v>
      </x:c>
      <x:c r="J78" s="9" t="n">
        <x:f>IF(F78=0,"n.a.",H78/F78)</x:f>
        <x:v>0.3492427100738425</x:v>
      </x:c>
      <x:c r="K78" s="9" t="n">
        <x:f>IF(D78=0,"n.a.",E78/D78)</x:f>
        <x:v>0.05846231920832276</x:v>
      </x:c>
    </x:row>
    <x:row r="79" ht="22" customHeight="1">
      <x:c r="A79" s="6" t="str">
        <x:f>'Source'!$C$86</x:f>
        <x:v>Cincinnati, OH-KY-IN Metro Area</x:v>
      </x:c>
      <x:c r="B79" s="6" t="str">
        <x:f>'Source'!$B$86</x:f>
        <x:v>17140</x:v>
      </x:c>
      <x:c r="C79" s="7" t="n">
        <x:f>'Source'!$D$86</x:f>
        <x:v>2024</x:v>
      </x:c>
      <x:c r="D79" s="8" t="n">
        <x:f>'Source'!$N$86</x:f>
        <x:v>290040</x:v>
      </x:c>
      <x:c r="E79" s="8" t="n">
        <x:f>'Source'!$AH$86</x:f>
        <x:v>17058</x:v>
      </x:c>
      <x:c r="F79" s="8" t="n">
        <x:f>D79-E79</x:f>
        <x:v>272982</x:v>
      </x:c>
      <x:c r="G79" s="8" t="n">
        <x:f>SUM('Source'!$Z$86,'Source'!$AB$86,'Source'!$AD$86,'Source'!$AF$86)</x:f>
        <x:v>135122</x:v>
      </x:c>
      <x:c r="H79" s="8" t="n">
        <x:f>'Source'!$AF$86</x:f>
        <x:v>71942</x:v>
      </x:c>
      <x:c r="I79" s="9" t="n">
        <x:f>IF(F79=0,"n.a.",G79/F79)</x:f>
        <x:v>0.4949850173271498</x:v>
      </x:c>
      <x:c r="J79" s="9" t="n">
        <x:f>IF(F79=0,"n.a.",H79/F79)</x:f>
        <x:v>0.2635411858657347</x:v>
      </x:c>
      <x:c r="K79" s="9" t="n">
        <x:f>IF(D79=0,"n.a.",E79/D79)</x:f>
        <x:v>0.05881257757550683</x:v>
      </x:c>
    </x:row>
    <x:row r="80" ht="22" customHeight="1">
      <x:c r="A80" s="6" t="str">
        <x:f>'Source'!$C$87</x:f>
        <x:v>Clarksville, TN-KY Metro Area</x:v>
      </x:c>
      <x:c r="B80" s="6" t="str">
        <x:f>'Source'!$B$87</x:f>
        <x:v>17300</x:v>
      </x:c>
      <x:c r="C80" s="7" t="n">
        <x:f>'Source'!$D$87</x:f>
        <x:v>2024</x:v>
      </x:c>
      <x:c r="D80" s="8" t="n">
        <x:f>'Source'!$N$87</x:f>
        <x:v>56998</x:v>
      </x:c>
      <x:c r="E80" s="8" t="n">
        <x:f>'Source'!$AH$87</x:f>
        <x:v>2902</x:v>
      </x:c>
      <x:c r="F80" s="8" t="n">
        <x:f>D80-E80</x:f>
        <x:v>54096</x:v>
      </x:c>
      <x:c r="G80" s="8" t="n">
        <x:f>SUM('Source'!$Z$87,'Source'!$AB$87,'Source'!$AD$87,'Source'!$AF$87)</x:f>
        <x:v>23124</x:v>
      </x:c>
      <x:c r="H80" s="8" t="n">
        <x:f>'Source'!$AF$87</x:f>
        <x:v>9745</x:v>
      </x:c>
      <x:c r="I80" s="9" t="n">
        <x:f>IF(F80=0,"n.a.",G80/F80)</x:f>
        <x:v>0.4274622892635315</x:v>
      </x:c>
      <x:c r="J80" s="9" t="n">
        <x:f>IF(F80=0,"n.a.",H80/F80)</x:f>
        <x:v>0.18014270925761608</x:v>
      </x:c>
      <x:c r="K80" s="9" t="n">
        <x:f>IF(D80=0,"n.a.",E80/D80)</x:f>
        <x:v>0.050914067160251236</x:v>
      </x:c>
    </x:row>
    <x:row r="81" ht="22" customHeight="1">
      <x:c r="A81" s="6" t="str">
        <x:f>'Source'!$C$88</x:f>
        <x:v>Cleveland, OH Metro Area</x:v>
      </x:c>
      <x:c r="B81" s="6" t="str">
        <x:f>'Source'!$B$88</x:f>
        <x:v>17410</x:v>
      </x:c>
      <x:c r="C81" s="7" t="n">
        <x:f>'Source'!$D$88</x:f>
        <x:v>2024</x:v>
      </x:c>
      <x:c r="D81" s="8" t="n">
        <x:f>'Source'!$N$88</x:f>
        <x:v>295109</x:v>
      </x:c>
      <x:c r="E81" s="8" t="n">
        <x:f>'Source'!$AH$88</x:f>
        <x:v>20428</x:v>
      </x:c>
      <x:c r="F81" s="8" t="n">
        <x:f>D81-E81</x:f>
        <x:v>274681</x:v>
      </x:c>
      <x:c r="G81" s="8" t="n">
        <x:f>SUM('Source'!$Z$88,'Source'!$AB$88,'Source'!$AD$88,'Source'!$AF$88)</x:f>
        <x:v>132353</x:v>
      </x:c>
      <x:c r="H81" s="8" t="n">
        <x:f>'Source'!$AF$88</x:f>
        <x:v>72178</x:v>
      </x:c>
      <x:c r="I81" s="9" t="n">
        <x:f>IF(F81=0,"n.a.",G81/F81)</x:f>
        <x:v>0.48184257374918543</x:v>
      </x:c>
      <x:c r="J81" s="9" t="n">
        <x:f>IF(F81=0,"n.a.",H81/F81)</x:f>
        <x:v>0.26277026805639997</x:v>
      </x:c>
      <x:c r="K81" s="9" t="n">
        <x:f>IF(D81=0,"n.a.",E81/D81)</x:f>
        <x:v>0.06922188072881545</x:v>
      </x:c>
    </x:row>
    <x:row r="82" ht="22" customHeight="1">
      <x:c r="A82" s="6" t="str">
        <x:f>'Source'!$C$89</x:f>
        <x:v>Cleveland, TN Metro Area</x:v>
      </x:c>
      <x:c r="B82" s="6" t="str">
        <x:f>'Source'!$B$89</x:f>
        <x:v>17420</x:v>
      </x:c>
      <x:c r="C82" s="7" t="n">
        <x:f>'Source'!$D$89</x:f>
        <x:v>2024</x:v>
      </x:c>
      <x:c r="D82" s="8" t="n">
        <x:f>'Source'!$N$89</x:f>
        <x:v>17292</x:v>
      </x:c>
      <x:c r="E82" s="8" t="n">
        <x:f>'Source'!$AH$89</x:f>
        <x:v>1041</x:v>
      </x:c>
      <x:c r="F82" s="8" t="n">
        <x:f>D82-E82</x:f>
        <x:v>16251</x:v>
      </x:c>
      <x:c r="G82" s="8" t="n">
        <x:f>SUM('Source'!$Z$89,'Source'!$AB$89,'Source'!$AD$89,'Source'!$AF$89)</x:f>
        <x:v>6646</x:v>
      </x:c>
      <x:c r="H82" s="8" t="n">
        <x:f>'Source'!$AF$89</x:f>
        <x:v>2421</x:v>
      </x:c>
      <x:c r="I82" s="9" t="n">
        <x:f>IF(F82=0,"n.a.",G82/F82)</x:f>
        <x:v>0.4089594486493139</x:v>
      </x:c>
      <x:c r="J82" s="9" t="n">
        <x:f>IF(F82=0,"n.a.",H82/F82)</x:f>
        <x:v>0.1489754476647591</x:v>
      </x:c>
      <x:c r="K82" s="9" t="n">
        <x:f>IF(D82=0,"n.a.",E82/D82)</x:f>
        <x:v>0.06020124913254684</x:v>
      </x:c>
    </x:row>
    <x:row r="83" ht="22" customHeight="1">
      <x:c r="A83" s="6" t="str">
        <x:f>'Source'!$C$90</x:f>
        <x:v>Coeur d'Alene, ID Metro Area</x:v>
      </x:c>
      <x:c r="B83" s="6" t="str">
        <x:f>'Source'!$B$90</x:f>
        <x:v>17660</x:v>
      </x:c>
      <x:c r="C83" s="7" t="n">
        <x:f>'Source'!$D$90</x:f>
        <x:v>2024</x:v>
      </x:c>
      <x:c r="D83" s="8" t="n">
        <x:f>'Source'!$N$90</x:f>
        <x:v>24954</x:v>
      </x:c>
      <x:c r="E83" s="8" t="n">
        <x:f>'Source'!$AH$90</x:f>
        <x:v>1696</x:v>
      </x:c>
      <x:c r="F83" s="8" t="n">
        <x:f>D83-E83</x:f>
        <x:v>23258</x:v>
      </x:c>
      <x:c r="G83" s="8" t="n">
        <x:f>SUM('Source'!$Z$90,'Source'!$AB$90,'Source'!$AD$90,'Source'!$AF$90)</x:f>
        <x:v>11752</x:v>
      </x:c>
      <x:c r="H83" s="8" t="n">
        <x:f>'Source'!$AF$90</x:f>
        <x:v>5927</x:v>
      </x:c>
      <x:c r="I83" s="9" t="n">
        <x:f>IF(F83=0,"n.a.",G83/F83)</x:f>
        <x:v>0.5052885028807292</x:v>
      </x:c>
      <x:c r="J83" s="9" t="n">
        <x:f>IF(F83=0,"n.a.",H83/F83)</x:f>
        <x:v>0.25483704531774015</x:v>
      </x:c>
      <x:c r="K83" s="9" t="n">
        <x:f>IF(D83=0,"n.a.",E83/D83)</x:f>
        <x:v>0.06796505570249259</x:v>
      </x:c>
    </x:row>
    <x:row r="84" ht="22" customHeight="1">
      <x:c r="A84" s="6" t="str">
        <x:f>'Source'!$C$91</x:f>
        <x:v>College Station-Bryan, TX Metro Area</x:v>
      </x:c>
      <x:c r="B84" s="6" t="str">
        <x:f>'Source'!$B$91</x:f>
        <x:v>17780</x:v>
      </x:c>
      <x:c r="C84" s="7" t="n">
        <x:f>'Source'!$D$91</x:f>
        <x:v>2024</x:v>
      </x:c>
      <x:c r="D84" s="8" t="n">
        <x:f>'Source'!$N$91</x:f>
        <x:v>54530</x:v>
      </x:c>
      <x:c r="E84" s="8" t="n">
        <x:f>'Source'!$AH$91</x:f>
        <x:v>4991</x:v>
      </x:c>
      <x:c r="F84" s="8" t="n">
        <x:f>D84-E84</x:f>
        <x:v>49539</x:v>
      </x:c>
      <x:c r="G84" s="8" t="n">
        <x:f>SUM('Source'!$Z$91,'Source'!$AB$91,'Source'!$AD$91,'Source'!$AF$91)</x:f>
        <x:v>29813</x:v>
      </x:c>
      <x:c r="H84" s="8" t="n">
        <x:f>'Source'!$AF$91</x:f>
        <x:v>17030</x:v>
      </x:c>
      <x:c r="I84" s="9" t="n">
        <x:f>IF(F84=0,"n.a.",G84/F84)</x:f>
        <x:v>0.6018086759926523</x:v>
      </x:c>
      <x:c r="J84" s="9" t="n">
        <x:f>IF(F84=0,"n.a.",H84/F84)</x:f>
        <x:v>0.34376955529986475</x:v>
      </x:c>
      <x:c r="K84" s="9" t="n">
        <x:f>IF(D84=0,"n.a.",E84/D84)</x:f>
        <x:v>0.09152759948652119</x:v>
      </x:c>
    </x:row>
    <x:row r="85" ht="22" customHeight="1">
      <x:c r="A85" s="6" t="str">
        <x:f>'Source'!$C$92</x:f>
        <x:v>Colorado Springs, CO Metro Area</x:v>
      </x:c>
      <x:c r="B85" s="6" t="str">
        <x:f>'Source'!$B$92</x:f>
        <x:v>17820</x:v>
      </x:c>
      <x:c r="C85" s="7" t="n">
        <x:f>'Source'!$D$92</x:f>
        <x:v>2024</x:v>
      </x:c>
      <x:c r="D85" s="8" t="n">
        <x:f>'Source'!$N$92</x:f>
        <x:v>113184</x:v>
      </x:c>
      <x:c r="E85" s="8" t="n">
        <x:f>'Source'!$AH$92</x:f>
        <x:v>4276</x:v>
      </x:c>
      <x:c r="F85" s="8" t="n">
        <x:f>D85-E85</x:f>
        <x:v>108908</x:v>
      </x:c>
      <x:c r="G85" s="8" t="n">
        <x:f>SUM('Source'!$Z$92,'Source'!$AB$92,'Source'!$AD$92,'Source'!$AF$92)</x:f>
        <x:v>59238</x:v>
      </x:c>
      <x:c r="H85" s="8" t="n">
        <x:f>'Source'!$AF$92</x:f>
        <x:v>24420</x:v>
      </x:c>
      <x:c r="I85" s="9" t="n">
        <x:f>IF(F85=0,"n.a.",G85/F85)</x:f>
        <x:v>0.5439269842435818</x:v>
      </x:c>
      <x:c r="J85" s="9" t="n">
        <x:f>IF(F85=0,"n.a.",H85/F85)</x:f>
        <x:v>0.2242259521798215</x:v>
      </x:c>
      <x:c r="K85" s="9" t="n">
        <x:f>IF(D85=0,"n.a.",E85/D85)</x:f>
        <x:v>0.0377791914051456</x:v>
      </x:c>
    </x:row>
    <x:row r="86" ht="22" customHeight="1">
      <x:c r="A86" s="6" t="str">
        <x:f>'Source'!$C$93</x:f>
        <x:v>Columbia, MO Metro Area</x:v>
      </x:c>
      <x:c r="B86" s="6" t="str">
        <x:f>'Source'!$B$93</x:f>
        <x:v>17860</x:v>
      </x:c>
      <x:c r="C86" s="7" t="n">
        <x:f>'Source'!$D$93</x:f>
        <x:v>2024</x:v>
      </x:c>
      <x:c r="D86" s="8" t="n">
        <x:f>'Source'!$N$93</x:f>
        <x:v>37019</x:v>
      </x:c>
      <x:c r="E86" s="8" t="n">
        <x:f>'Source'!$AH$93</x:f>
        <x:v>2184</x:v>
      </x:c>
      <x:c r="F86" s="8" t="n">
        <x:f>D86-E86</x:f>
        <x:v>34835</x:v>
      </x:c>
      <x:c r="G86" s="8" t="n">
        <x:f>SUM('Source'!$Z$93,'Source'!$AB$93,'Source'!$AD$93,'Source'!$AF$93)</x:f>
        <x:v>15987</x:v>
      </x:c>
      <x:c r="H86" s="8" t="n">
        <x:f>'Source'!$AF$93</x:f>
        <x:v>7334</x:v>
      </x:c>
      <x:c r="I86" s="9" t="n">
        <x:f>IF(F86=0,"n.a.",G86/F86)</x:f>
        <x:v>0.4589349791875987</x:v>
      </x:c>
      <x:c r="J86" s="9" t="n">
        <x:f>IF(F86=0,"n.a.",H86/F86)</x:f>
        <x:v>0.21053538108224487</x:v>
      </x:c>
      <x:c r="K86" s="9" t="n">
        <x:f>IF(D86=0,"n.a.",E86/D86)</x:f>
        <x:v>0.05899673140819579</x:v>
      </x:c>
    </x:row>
    <x:row r="87" ht="22" customHeight="1">
      <x:c r="A87" s="6" t="str">
        <x:f>'Source'!$C$94</x:f>
        <x:v>Columbia, SC Metro Area</x:v>
      </x:c>
      <x:c r="B87" s="6" t="str">
        <x:f>'Source'!$B$94</x:f>
        <x:v>17900</x:v>
      </x:c>
      <x:c r="C87" s="7" t="n">
        <x:f>'Source'!$D$94</x:f>
        <x:v>2024</x:v>
      </x:c>
      <x:c r="D87" s="8" t="n">
        <x:f>'Source'!$N$94</x:f>
        <x:v>109140</x:v>
      </x:c>
      <x:c r="E87" s="8" t="n">
        <x:f>'Source'!$AH$94</x:f>
        <x:v>8780</x:v>
      </x:c>
      <x:c r="F87" s="8" t="n">
        <x:f>D87-E87</x:f>
        <x:v>100360</x:v>
      </x:c>
      <x:c r="G87" s="8" t="n">
        <x:f>SUM('Source'!$Z$94,'Source'!$AB$94,'Source'!$AD$94,'Source'!$AF$94)</x:f>
        <x:v>57721</x:v>
      </x:c>
      <x:c r="H87" s="8" t="n">
        <x:f>'Source'!$AF$94</x:f>
        <x:v>29040</x:v>
      </x:c>
      <x:c r="I87" s="9" t="n">
        <x:f>IF(F87=0,"n.a.",G87/F87)</x:f>
        <x:v>0.5751394978078916</x:v>
      </x:c>
      <x:c r="J87" s="9" t="n">
        <x:f>IF(F87=0,"n.a.",H87/F87)</x:f>
        <x:v>0.28935831008369867</x:v>
      </x:c>
      <x:c r="K87" s="9" t="n">
        <x:f>IF(D87=0,"n.a.",E87/D87)</x:f>
        <x:v>0.0804471321238776</x:v>
      </x:c>
    </x:row>
    <x:row r="88" ht="22" customHeight="1">
      <x:c r="A88" s="6" t="str">
        <x:f>'Source'!$C$95</x:f>
        <x:v>Columbus, GA-AL Metro Area</x:v>
      </x:c>
      <x:c r="B88" s="6" t="str">
        <x:f>'Source'!$B$95</x:f>
        <x:v>17980</x:v>
      </x:c>
      <x:c r="C88" s="7" t="n">
        <x:f>'Source'!$D$95</x:f>
        <x:v>2024</x:v>
      </x:c>
      <x:c r="D88" s="8" t="n">
        <x:f>'Source'!$N$95</x:f>
        <x:v>51918</x:v>
      </x:c>
      <x:c r="E88" s="8" t="n">
        <x:f>'Source'!$AH$95</x:f>
        <x:v>5449</x:v>
      </x:c>
      <x:c r="F88" s="8" t="n">
        <x:f>D88-E88</x:f>
        <x:v>46469</x:v>
      </x:c>
      <x:c r="G88" s="8" t="n">
        <x:f>SUM('Source'!$Z$95,'Source'!$AB$95,'Source'!$AD$95,'Source'!$AF$95)</x:f>
        <x:v>25232</x:v>
      </x:c>
      <x:c r="H88" s="8" t="n">
        <x:f>'Source'!$AF$95</x:f>
        <x:v>12356</x:v>
      </x:c>
      <x:c r="I88" s="9" t="n">
        <x:f>IF(F88=0,"n.a.",G88/F88)</x:f>
        <x:v>0.5429856463448751</x:v>
      </x:c>
      <x:c r="J88" s="9" t="n">
        <x:f>IF(F88=0,"n.a.",H88/F88)</x:f>
        <x:v>0.26589769523768536</x:v>
      </x:c>
      <x:c r="K88" s="9" t="n">
        <x:f>IF(D88=0,"n.a.",E88/D88)</x:f>
        <x:v>0.10495396586925536</x:v>
      </x:c>
    </x:row>
    <x:row r="89" ht="22" customHeight="1">
      <x:c r="A89" s="6" t="str">
        <x:f>'Source'!$C$96</x:f>
        <x:v>Columbus, IN Metro Area</x:v>
      </x:c>
      <x:c r="B89" s="6" t="str">
        <x:f>'Source'!$B$96</x:f>
        <x:v>18020</x:v>
      </x:c>
      <x:c r="C89" s="7" t="n">
        <x:f>'Source'!$D$96</x:f>
        <x:v>2024</x:v>
      </x:c>
      <x:c r="D89" s="8" t="n">
        <x:f>'Source'!$N$96</x:f>
        <x:v>9296</x:v>
      </x:c>
      <x:c r="E89" s="8" t="n">
        <x:f>'Source'!$AH$96</x:f>
        <x:v>780</x:v>
      </x:c>
      <x:c r="F89" s="8" t="n">
        <x:f>D89-E89</x:f>
        <x:v>8516</x:v>
      </x:c>
      <x:c r="G89" s="8" t="n">
        <x:f>SUM('Source'!$Z$96,'Source'!$AB$96,'Source'!$AD$96,'Source'!$AF$96)</x:f>
        <x:v>4181</x:v>
      </x:c>
      <x:c r="H89" s="8" t="n">
        <x:f>'Source'!$AF$96</x:f>
        <x:v>2075</x:v>
      </x:c>
      <x:c r="I89" s="9" t="n">
        <x:f>IF(F89=0,"n.a.",G89/F89)</x:f>
        <x:v>0.4909581963363081</x:v>
      </x:c>
      <x:c r="J89" s="9" t="n">
        <x:f>IF(F89=0,"n.a.",H89/F89)</x:f>
        <x:v>0.24365899483325504</x:v>
      </x:c>
      <x:c r="K89" s="9" t="n">
        <x:f>IF(D89=0,"n.a.",E89/D89)</x:f>
        <x:v>0.08390705679862306</x:v>
      </x:c>
    </x:row>
    <x:row r="90" ht="22" customHeight="1">
      <x:c r="A90" s="6" t="str">
        <x:f>'Source'!$C$97</x:f>
        <x:v>Columbus, OH Metro Area</x:v>
      </x:c>
      <x:c r="B90" s="6" t="str">
        <x:f>'Source'!$B$97</x:f>
        <x:v>18140</x:v>
      </x:c>
      <x:c r="C90" s="7" t="n">
        <x:f>'Source'!$D$97</x:f>
        <x:v>2024</x:v>
      </x:c>
      <x:c r="D90" s="8" t="n">
        <x:f>'Source'!$N$97</x:f>
        <x:v>332895</x:v>
      </x:c>
      <x:c r="E90" s="8" t="n">
        <x:f>'Source'!$AH$97</x:f>
        <x:v>17292</x:v>
      </x:c>
      <x:c r="F90" s="8" t="n">
        <x:f>D90-E90</x:f>
        <x:v>315603</x:v>
      </x:c>
      <x:c r="G90" s="8" t="n">
        <x:f>SUM('Source'!$Z$97,'Source'!$AB$97,'Source'!$AD$97,'Source'!$AF$97)</x:f>
        <x:v>158113</x:v>
      </x:c>
      <x:c r="H90" s="8" t="n">
        <x:f>'Source'!$AF$97</x:f>
        <x:v>74800</x:v>
      </x:c>
      <x:c r="I90" s="9" t="n">
        <x:f>IF(F90=0,"n.a.",G90/F90)</x:f>
        <x:v>0.5009869994898655</x:v>
      </x:c>
      <x:c r="J90" s="9" t="n">
        <x:f>IF(F90=0,"n.a.",H90/F90)</x:f>
        <x:v>0.2370066190752306</x:v>
      </x:c>
      <x:c r="K90" s="9" t="n">
        <x:f>IF(D90=0,"n.a.",E90/D90)</x:f>
        <x:v>0.051944306763393865</x:v>
      </x:c>
    </x:row>
    <x:row r="91" ht="22" customHeight="1">
      <x:c r="A91" s="6" t="str">
        <x:f>'Source'!$C$98</x:f>
        <x:v>Corpus Christi, TX Metro Area</x:v>
      </x:c>
      <x:c r="B91" s="6" t="str">
        <x:f>'Source'!$B$98</x:f>
        <x:v>18580</x:v>
      </x:c>
      <x:c r="C91" s="7" t="n">
        <x:f>'Source'!$D$98</x:f>
        <x:v>2024</x:v>
      </x:c>
      <x:c r="D91" s="8" t="n">
        <x:f>'Source'!$N$98</x:f>
        <x:v>67574</x:v>
      </x:c>
      <x:c r="E91" s="8" t="n">
        <x:f>'Source'!$AH$98</x:f>
        <x:v>3505</x:v>
      </x:c>
      <x:c r="F91" s="8" t="n">
        <x:f>D91-E91</x:f>
        <x:v>64069</x:v>
      </x:c>
      <x:c r="G91" s="8" t="n">
        <x:f>SUM('Source'!$Z$98,'Source'!$AB$98,'Source'!$AD$98,'Source'!$AF$98)</x:f>
        <x:v>32271</x:v>
      </x:c>
      <x:c r="H91" s="8" t="n">
        <x:f>'Source'!$AF$98</x:f>
        <x:v>13605</x:v>
      </x:c>
      <x:c r="I91" s="9" t="n">
        <x:f>IF(F91=0,"n.a.",G91/F91)</x:f>
        <x:v>0.5036913327818445</x:v>
      </x:c>
      <x:c r="J91" s="9" t="n">
        <x:f>IF(F91=0,"n.a.",H91/F91)</x:f>
        <x:v>0.2123491860338073</x:v>
      </x:c>
      <x:c r="K91" s="9" t="n">
        <x:f>IF(D91=0,"n.a.",E91/D91)</x:f>
        <x:v>0.051869062065291384</x:v>
      </x:c>
    </x:row>
    <x:row r="92" ht="22" customHeight="1">
      <x:c r="A92" s="6" t="str">
        <x:f>'Source'!$C$99</x:f>
        <x:v>Corvallis, OR Metro Area</x:v>
      </x:c>
      <x:c r="B92" s="6" t="str">
        <x:f>'Source'!$B$99</x:f>
        <x:v>18700</x:v>
      </x:c>
      <x:c r="C92" s="7" t="n">
        <x:f>'Source'!$D$99</x:f>
        <x:v>2024</x:v>
      </x:c>
      <x:c r="D92" s="8" t="n">
        <x:f>'Source'!$N$99</x:f>
        <x:v>15071</x:v>
      </x:c>
      <x:c r="E92" s="8" t="n">
        <x:f>'Source'!$AH$99</x:f>
        <x:v>1167</x:v>
      </x:c>
      <x:c r="F92" s="8" t="n">
        <x:f>D92-E92</x:f>
        <x:v>13904</x:v>
      </x:c>
      <x:c r="G92" s="8" t="n">
        <x:f>SUM('Source'!$Z$99,'Source'!$AB$99,'Source'!$AD$99,'Source'!$AF$99)</x:f>
        <x:v>8909</x:v>
      </x:c>
      <x:c r="H92" s="8" t="n">
        <x:f>'Source'!$AF$99</x:f>
        <x:v>6057</x:v>
      </x:c>
      <x:c r="I92" s="9" t="n">
        <x:f>IF(F92=0,"n.a.",G92/F92)</x:f>
        <x:v>0.6407508630609896</x:v>
      </x:c>
      <x:c r="J92" s="9" t="n">
        <x:f>IF(F92=0,"n.a.",H92/F92)</x:f>
        <x:v>0.4356300345224396</x:v>
      </x:c>
      <x:c r="K92" s="9" t="n">
        <x:f>IF(D92=0,"n.a.",E92/D92)</x:f>
        <x:v>0.07743348152080154</x:v>
      </x:c>
    </x:row>
    <x:row r="93" ht="22" customHeight="1">
      <x:c r="A93" s="6" t="str">
        <x:f>'Source'!$C$100</x:f>
        <x:v>Crestview-Fort Walton Beach-Destin, FL Metro Area</x:v>
      </x:c>
      <x:c r="B93" s="6" t="str">
        <x:f>'Source'!$B$100</x:f>
        <x:v>18880</x:v>
      </x:c>
      <x:c r="C93" s="7" t="n">
        <x:f>'Source'!$D$100</x:f>
        <x:v>2024</x:v>
      </x:c>
      <x:c r="D93" s="8" t="n">
        <x:f>'Source'!$N$100</x:f>
        <x:v>36878</x:v>
      </x:c>
      <x:c r="E93" s="8" t="n">
        <x:f>'Source'!$AH$100</x:f>
        <x:v>2370</x:v>
      </x:c>
      <x:c r="F93" s="8" t="n">
        <x:f>D93-E93</x:f>
        <x:v>34508</x:v>
      </x:c>
      <x:c r="G93" s="8" t="n">
        <x:f>SUM('Source'!$Z$100,'Source'!$AB$100,'Source'!$AD$100,'Source'!$AF$100)</x:f>
        <x:v>20630</x:v>
      </x:c>
      <x:c r="H93" s="8" t="n">
        <x:f>'Source'!$AF$100</x:f>
        <x:v>8722</x:v>
      </x:c>
      <x:c r="I93" s="9" t="n">
        <x:f>IF(F93=0,"n.a.",G93/F93)</x:f>
        <x:v>0.5978323866929408</x:v>
      </x:c>
      <x:c r="J93" s="9" t="n">
        <x:f>IF(F93=0,"n.a.",H93/F93)</x:f>
        <x:v>0.2527529848151153</x:v>
      </x:c>
      <x:c r="K93" s="9" t="n">
        <x:f>IF(D93=0,"n.a.",E93/D93)</x:f>
        <x:v>0.064265958023754</x:v>
      </x:c>
    </x:row>
    <x:row r="94" ht="22" customHeight="1">
      <x:c r="A94" s="6" t="str">
        <x:f>'Source'!$C$101</x:f>
        <x:v>Dallas-Fort Worth-Arlington, TX Metro Area</x:v>
      </x:c>
      <x:c r="B94" s="6" t="str">
        <x:f>'Source'!$B$101</x:f>
        <x:v>19100</x:v>
      </x:c>
      <x:c r="C94" s="7" t="n">
        <x:f>'Source'!$D$101</x:f>
        <x:v>2024</x:v>
      </x:c>
      <x:c r="D94" s="8" t="n">
        <x:f>'Source'!$N$101</x:f>
        <x:v>1204598</x:v>
      </x:c>
      <x:c r="E94" s="8" t="n">
        <x:f>'Source'!$AH$101</x:f>
        <x:v>55843</x:v>
      </x:c>
      <x:c r="F94" s="8" t="n">
        <x:f>D94-E94</x:f>
        <x:v>1148755</x:v>
      </x:c>
      <x:c r="G94" s="8" t="n">
        <x:f>SUM('Source'!$Z$101,'Source'!$AB$101,'Source'!$AD$101,'Source'!$AF$101)</x:f>
        <x:v>602772</x:v>
      </x:c>
      <x:c r="H94" s="8" t="n">
        <x:f>'Source'!$AF$101</x:f>
        <x:v>290224</x:v>
      </x:c>
      <x:c r="I94" s="9" t="n">
        <x:f>IF(F94=0,"n.a.",G94/F94)</x:f>
        <x:v>0.5247176290854012</x:v>
      </x:c>
      <x:c r="J94" s="9" t="n">
        <x:f>IF(F94=0,"n.a.",H94/F94)</x:f>
        <x:v>0.2526422083037723</x:v>
      </x:c>
      <x:c r="K94" s="9" t="n">
        <x:f>IF(D94=0,"n.a.",E94/D94)</x:f>
        <x:v>0.04635820414777378</x:v>
      </x:c>
    </x:row>
    <x:row r="95" ht="22" customHeight="1">
      <x:c r="A95" s="6" t="str">
        <x:f>'Source'!$C$102</x:f>
        <x:v>Dalton, GA Metro Area</x:v>
      </x:c>
      <x:c r="B95" s="6" t="str">
        <x:f>'Source'!$B$102</x:f>
        <x:v>19140</x:v>
      </x:c>
      <x:c r="C95" s="7" t="n">
        <x:f>'Source'!$D$102</x:f>
        <x:v>2024</x:v>
      </x:c>
      <x:c r="D95" s="8" t="n">
        <x:f>'Source'!$N$102</x:f>
        <x:v>16645</x:v>
      </x:c>
      <x:c r="E95" s="8" t="n">
        <x:f>'Source'!$AH$102</x:f>
        <x:v>1578</x:v>
      </x:c>
      <x:c r="F95" s="8" t="n">
        <x:f>D95-E95</x:f>
        <x:v>15067</x:v>
      </x:c>
      <x:c r="G95" s="8" t="n">
        <x:f>SUM('Source'!$Z$102,'Source'!$AB$102,'Source'!$AD$102,'Source'!$AF$102)</x:f>
        <x:v>6619</x:v>
      </x:c>
      <x:c r="H95" s="8" t="n">
        <x:f>'Source'!$AF$102</x:f>
        <x:v>3501</x:v>
      </x:c>
      <x:c r="I95" s="9" t="n">
        <x:f>IF(F95=0,"n.a.",G95/F95)</x:f>
        <x:v>0.43930444016725295</x:v>
      </x:c>
      <x:c r="J95" s="9" t="n">
        <x:f>IF(F95=0,"n.a.",H95/F95)</x:f>
        <x:v>0.23236211588239197</x:v>
      </x:c>
      <x:c r="K95" s="9" t="n">
        <x:f>IF(D95=0,"n.a.",E95/D95)</x:f>
        <x:v>0.09480324421748272</x:v>
      </x:c>
    </x:row>
    <x:row r="96" ht="22" customHeight="1">
      <x:c r="A96" s="6" t="str">
        <x:f>'Source'!$C$103</x:f>
        <x:v>Daphne-Fairhope-Foley, AL Metro Area</x:v>
      </x:c>
      <x:c r="B96" s="6" t="str">
        <x:f>'Source'!$B$103</x:f>
        <x:v>19300</x:v>
      </x:c>
      <x:c r="C96" s="7" t="n">
        <x:f>'Source'!$D$103</x:f>
        <x:v>2024</x:v>
      </x:c>
      <x:c r="D96" s="8" t="n">
        <x:f>'Source'!$N$103</x:f>
        <x:v>22583</x:v>
      </x:c>
      <x:c r="E96" s="8" t="n">
        <x:f>'Source'!$AH$103</x:f>
        <x:v>3472</x:v>
      </x:c>
      <x:c r="F96" s="8" t="n">
        <x:f>D96-E96</x:f>
        <x:v>19111</x:v>
      </x:c>
      <x:c r="G96" s="8" t="n">
        <x:f>SUM('Source'!$Z$103,'Source'!$AB$103,'Source'!$AD$103,'Source'!$AF$103)</x:f>
        <x:v>9323</x:v>
      </x:c>
      <x:c r="H96" s="8" t="n">
        <x:f>'Source'!$AF$103</x:f>
        <x:v>5113</x:v>
      </x:c>
      <x:c r="I96" s="9" t="n">
        <x:f>IF(F96=0,"n.a.",G96/F96)</x:f>
        <x:v>0.4878342315943697</x:v>
      </x:c>
      <x:c r="J96" s="9" t="n">
        <x:f>IF(F96=0,"n.a.",H96/F96)</x:f>
        <x:v>0.26754225315263463</x:v>
      </x:c>
      <x:c r="K96" s="9" t="n">
        <x:f>IF(D96=0,"n.a.",E96/D96)</x:f>
        <x:v>0.15374396670061552</x:v>
      </x:c>
    </x:row>
    <x:row r="97" ht="22" customHeight="1">
      <x:c r="A97" s="6" t="str">
        <x:f>'Source'!$C$104</x:f>
        <x:v>Davenport-Moline-Rock Island, IA-IL Metro Area</x:v>
      </x:c>
      <x:c r="B97" s="6" t="str">
        <x:f>'Source'!$B$104</x:f>
        <x:v>19340</x:v>
      </x:c>
      <x:c r="C97" s="7" t="n">
        <x:f>'Source'!$D$104</x:f>
        <x:v>2024</x:v>
      </x:c>
      <x:c r="D97" s="8" t="n">
        <x:f>'Source'!$N$104</x:f>
        <x:v>47778</x:v>
      </x:c>
      <x:c r="E97" s="8" t="n">
        <x:f>'Source'!$AH$104</x:f>
        <x:v>3421</x:v>
      </x:c>
      <x:c r="F97" s="8" t="n">
        <x:f>D97-E97</x:f>
        <x:v>44357</x:v>
      </x:c>
      <x:c r="G97" s="8" t="n">
        <x:f>SUM('Source'!$Z$104,'Source'!$AB$104,'Source'!$AD$104,'Source'!$AF$104)</x:f>
        <x:v>19635</x:v>
      </x:c>
      <x:c r="H97" s="8" t="n">
        <x:f>'Source'!$AF$104</x:f>
        <x:v>10296</x:v>
      </x:c>
      <x:c r="I97" s="9" t="n">
        <x:f>IF(F97=0,"n.a.",G97/F97)</x:f>
        <x:v>0.44265843046193387</x:v>
      </x:c>
      <x:c r="J97" s="9" t="n">
        <x:f>IF(F97=0,"n.a.",H97/F97)</x:f>
        <x:v>0.23211668958676196</x:v>
      </x:c>
      <x:c r="K97" s="9" t="n">
        <x:f>IF(D97=0,"n.a.",E97/D97)</x:f>
        <x:v>0.07160199254887187</x:v>
      </x:c>
    </x:row>
    <x:row r="98" ht="22" customHeight="1">
      <x:c r="A98" s="6" t="str">
        <x:f>'Source'!$C$105</x:f>
        <x:v>Dayton-Kettering-Beavercreek, OH Metro Area</x:v>
      </x:c>
      <x:c r="B98" s="6" t="str">
        <x:f>'Source'!$B$105</x:f>
        <x:v>19430</x:v>
      </x:c>
      <x:c r="C98" s="7" t="n">
        <x:f>'Source'!$D$105</x:f>
        <x:v>2024</x:v>
      </x:c>
      <x:c r="D98" s="8" t="n">
        <x:f>'Source'!$N$105</x:f>
        <x:v>118136</x:v>
      </x:c>
      <x:c r="E98" s="8" t="n">
        <x:f>'Source'!$AH$105</x:f>
        <x:v>7970</x:v>
      </x:c>
      <x:c r="F98" s="8" t="n">
        <x:f>D98-E98</x:f>
        <x:v>110166</x:v>
      </x:c>
      <x:c r="G98" s="8" t="n">
        <x:f>SUM('Source'!$Z$105,'Source'!$AB$105,'Source'!$AD$105,'Source'!$AF$105)</x:f>
        <x:v>53720</x:v>
      </x:c>
      <x:c r="H98" s="8" t="n">
        <x:f>'Source'!$AF$105</x:f>
        <x:v>27851</x:v>
      </x:c>
      <x:c r="I98" s="9" t="n">
        <x:f>IF(F98=0,"n.a.",G98/F98)</x:f>
        <x:v>0.4876277617413721</x:v>
      </x:c>
      <x:c r="J98" s="9" t="n">
        <x:f>IF(F98=0,"n.a.",H98/F98)</x:f>
        <x:v>0.2528093967285732</x:v>
      </x:c>
      <x:c r="K98" s="9" t="n">
        <x:f>IF(D98=0,"n.a.",E98/D98)</x:f>
        <x:v>0.06746461705153382</x:v>
      </x:c>
    </x:row>
    <x:row r="99" ht="22" customHeight="1">
      <x:c r="A99" s="6" t="str">
        <x:f>'Source'!$C$106</x:f>
        <x:v>Decatur, AL Metro Area</x:v>
      </x:c>
      <x:c r="B99" s="6" t="str">
        <x:f>'Source'!$B$106</x:f>
        <x:v>19460</x:v>
      </x:c>
      <x:c r="C99" s="7" t="n">
        <x:f>'Source'!$D$106</x:f>
        <x:v>2024</x:v>
      </x:c>
      <x:c r="D99" s="8" t="n">
        <x:f>'Source'!$N$106</x:f>
        <x:v>16791</x:v>
      </x:c>
      <x:c r="E99" s="8" t="n">
        <x:f>'Source'!$AH$106</x:f>
        <x:v>2772</x:v>
      </x:c>
      <x:c r="F99" s="8" t="n">
        <x:f>D99-E99</x:f>
        <x:v>14019</x:v>
      </x:c>
      <x:c r="G99" s="8" t="n">
        <x:f>SUM('Source'!$Z$106,'Source'!$AB$106,'Source'!$AD$106,'Source'!$AF$106)</x:f>
        <x:v>6352</x:v>
      </x:c>
      <x:c r="H99" s="8" t="n">
        <x:f>'Source'!$AF$106</x:f>
        <x:v>2593</x:v>
      </x:c>
      <x:c r="I99" s="9" t="n">
        <x:f>IF(F99=0,"n.a.",G99/F99)</x:f>
        <x:v>0.4530993651473001</x:v>
      </x:c>
      <x:c r="J99" s="9" t="n">
        <x:f>IF(F99=0,"n.a.",H99/F99)</x:f>
        <x:v>0.18496326414152223</x:v>
      </x:c>
      <x:c r="K99" s="9" t="n">
        <x:f>IF(D99=0,"n.a.",E99/D99)</x:f>
        <x:v>0.16508844023584063</x:v>
      </x:c>
    </x:row>
    <x:row r="100" ht="22" customHeight="1">
      <x:c r="A100" s="6" t="str">
        <x:f>'Source'!$C$107</x:f>
        <x:v>Decatur, IL Metro Area</x:v>
      </x:c>
      <x:c r="B100" s="6" t="str">
        <x:f>'Source'!$B$107</x:f>
        <x:v>19500</x:v>
      </x:c>
      <x:c r="C100" s="7" t="n">
        <x:f>'Source'!$D$107</x:f>
        <x:v>2024</x:v>
      </x:c>
      <x:c r="D100" s="8" t="n">
        <x:f>'Source'!$N$107</x:f>
        <x:v>13186</x:v>
      </x:c>
      <x:c r="E100" s="8" t="n">
        <x:f>'Source'!$AH$107</x:f>
        <x:v>1975</x:v>
      </x:c>
      <x:c r="F100" s="8" t="n">
        <x:f>D100-E100</x:f>
        <x:v>11211</x:v>
      </x:c>
      <x:c r="G100" s="8" t="n">
        <x:f>SUM('Source'!$Z$107,'Source'!$AB$107,'Source'!$AD$107,'Source'!$AF$107)</x:f>
        <x:v>5122</x:v>
      </x:c>
      <x:c r="H100" s="8" t="n">
        <x:f>'Source'!$AF$107</x:f>
        <x:v>2466</x:v>
      </x:c>
      <x:c r="I100" s="9" t="n">
        <x:f>IF(F100=0,"n.a.",G100/F100)</x:f>
        <x:v>0.4568727142984569</x:v>
      </x:c>
      <x:c r="J100" s="9" t="n">
        <x:f>IF(F100=0,"n.a.",H100/F100)</x:f>
        <x:v>0.21996253679421995</x:v>
      </x:c>
      <x:c r="K100" s="9" t="n">
        <x:f>IF(D100=0,"n.a.",E100/D100)</x:f>
        <x:v>0.14978006977096922</x:v>
      </x:c>
    </x:row>
    <x:row r="101" ht="22" customHeight="1">
      <x:c r="A101" s="6" t="str">
        <x:f>'Source'!$C$108</x:f>
        <x:v>Deltona-Daytona Beach-Ormond Beach, FL Metro Area</x:v>
      </x:c>
      <x:c r="B101" s="6" t="str">
        <x:f>'Source'!$B$108</x:f>
        <x:v>19660</x:v>
      </x:c>
      <x:c r="C101" s="7" t="n">
        <x:f>'Source'!$D$108</x:f>
        <x:v>2024</x:v>
      </x:c>
      <x:c r="D101" s="8" t="n">
        <x:f>'Source'!$N$108</x:f>
        <x:v>71004</x:v>
      </x:c>
      <x:c r="E101" s="8" t="n">
        <x:f>'Source'!$AH$108</x:f>
        <x:v>5225</x:v>
      </x:c>
      <x:c r="F101" s="8" t="n">
        <x:f>D101-E101</x:f>
        <x:v>65779</x:v>
      </x:c>
      <x:c r="G101" s="8" t="n">
        <x:f>SUM('Source'!$Z$108,'Source'!$AB$108,'Source'!$AD$108,'Source'!$AF$108)</x:f>
        <x:v>40306</x:v>
      </x:c>
      <x:c r="H101" s="8" t="n">
        <x:f>'Source'!$AF$108</x:f>
        <x:v>21082</x:v>
      </x:c>
      <x:c r="I101" s="9" t="n">
        <x:f>IF(F101=0,"n.a.",G101/F101)</x:f>
        <x:v>0.6127487496009365</x:v>
      </x:c>
      <x:c r="J101" s="9" t="n">
        <x:f>IF(F101=0,"n.a.",H101/F101)</x:f>
        <x:v>0.3204974231897718</x:v>
      </x:c>
      <x:c r="K101" s="9" t="n">
        <x:f>IF(D101=0,"n.a.",E101/D101)</x:f>
        <x:v>0.07358740352656189</x:v>
      </x:c>
    </x:row>
    <x:row r="102" ht="22" customHeight="1">
      <x:c r="A102" s="6" t="str">
        <x:f>'Source'!$C$109</x:f>
        <x:v>Denver-Aurora-Centennial, CO Metro Area</x:v>
      </x:c>
      <x:c r="B102" s="6" t="str">
        <x:f>'Source'!$B$109</x:f>
        <x:v>19740</x:v>
      </x:c>
      <x:c r="C102" s="7" t="n">
        <x:f>'Source'!$D$109</x:f>
        <x:v>2024</x:v>
      </x:c>
      <x:c r="D102" s="8" t="n">
        <x:f>'Source'!$N$109</x:f>
        <x:v>457427</x:v>
      </x:c>
      <x:c r="E102" s="8" t="n">
        <x:f>'Source'!$AH$109</x:f>
        <x:v>18218</x:v>
      </x:c>
      <x:c r="F102" s="8" t="n">
        <x:f>D102-E102</x:f>
        <x:v>439209</x:v>
      </x:c>
      <x:c r="G102" s="8" t="n">
        <x:f>SUM('Source'!$Z$109,'Source'!$AB$109,'Source'!$AD$109,'Source'!$AF$109)</x:f>
        <x:v>225968</x:v>
      </x:c>
      <x:c r="H102" s="8" t="n">
        <x:f>'Source'!$AF$109</x:f>
        <x:v>104783</x:v>
      </x:c>
      <x:c r="I102" s="9" t="n">
        <x:f>IF(F102=0,"n.a.",G102/F102)</x:f>
        <x:v>0.5144885464551046</x:v>
      </x:c>
      <x:c r="J102" s="9" t="n">
        <x:f>IF(F102=0,"n.a.",H102/F102)</x:f>
        <x:v>0.23857206933373407</x:v>
      </x:c>
      <x:c r="K102" s="9" t="n">
        <x:f>IF(D102=0,"n.a.",E102/D102)</x:f>
        <x:v>0.039827119955752506</x:v>
      </x:c>
    </x:row>
    <x:row r="103" ht="22" customHeight="1">
      <x:c r="A103" s="6" t="str">
        <x:f>'Source'!$C$110</x:f>
        <x:v>Des Moines-West Des Moines, IA Metro Area</x:v>
      </x:c>
      <x:c r="B103" s="6" t="str">
        <x:f>'Source'!$B$110</x:f>
        <x:v>19780</x:v>
      </x:c>
      <x:c r="C103" s="7" t="n">
        <x:f>'Source'!$D$110</x:f>
        <x:v>2024</x:v>
      </x:c>
      <x:c r="D103" s="8" t="n">
        <x:f>'Source'!$N$110</x:f>
        <x:v>97325</x:v>
      </x:c>
      <x:c r="E103" s="8" t="n">
        <x:f>'Source'!$AH$110</x:f>
        <x:v>4299</x:v>
      </x:c>
      <x:c r="F103" s="8" t="n">
        <x:f>D103-E103</x:f>
        <x:v>93026</x:v>
      </x:c>
      <x:c r="G103" s="8" t="n">
        <x:f>SUM('Source'!$Z$110,'Source'!$AB$110,'Source'!$AD$110,'Source'!$AF$110)</x:f>
        <x:v>42278</x:v>
      </x:c>
      <x:c r="H103" s="8" t="n">
        <x:f>'Source'!$AF$110</x:f>
        <x:v>16758</x:v>
      </x:c>
      <x:c r="I103" s="9" t="n">
        <x:f>IF(F103=0,"n.a.",G103/F103)</x:f>
        <x:v>0.45447509298475697</x:v>
      </x:c>
      <x:c r="J103" s="9" t="n">
        <x:f>IF(F103=0,"n.a.",H103/F103)</x:f>
        <x:v>0.18014318577601962</x:v>
      </x:c>
      <x:c r="K103" s="9" t="n">
        <x:f>IF(D103=0,"n.a.",E103/D103)</x:f>
        <x:v>0.04417159003339327</x:v>
      </x:c>
    </x:row>
    <x:row r="104" ht="22" customHeight="1">
      <x:c r="A104" s="6" t="str">
        <x:f>'Source'!$C$111</x:f>
        <x:v>Detroit-Warren-Dearborn, MI Metro Area</x:v>
      </x:c>
      <x:c r="B104" s="6" t="str">
        <x:f>'Source'!$B$111</x:f>
        <x:v>19820</x:v>
      </x:c>
      <x:c r="C104" s="7" t="n">
        <x:f>'Source'!$D$111</x:f>
        <x:v>2024</x:v>
      </x:c>
      <x:c r="D104" s="8" t="n">
        <x:f>'Source'!$N$111</x:f>
        <x:v>510249</x:v>
      </x:c>
      <x:c r="E104" s="8" t="n">
        <x:f>'Source'!$AH$111</x:f>
        <x:v>41171</x:v>
      </x:c>
      <x:c r="F104" s="8" t="n">
        <x:f>D104-E104</x:f>
        <x:v>469078</x:v>
      </x:c>
      <x:c r="G104" s="8" t="n">
        <x:f>SUM('Source'!$Z$111,'Source'!$AB$111,'Source'!$AD$111,'Source'!$AF$111)</x:f>
        <x:v>247279</x:v>
      </x:c>
      <x:c r="H104" s="8" t="n">
        <x:f>'Source'!$AF$111</x:f>
        <x:v>134097</x:v>
      </x:c>
      <x:c r="I104" s="9" t="n">
        <x:f>IF(F104=0,"n.a.",G104/F104)</x:f>
        <x:v>0.5271596621457412</x:v>
      </x:c>
      <x:c r="J104" s="9" t="n">
        <x:f>IF(F104=0,"n.a.",H104/F104)</x:f>
        <x:v>0.28587356473763426</x:v>
      </x:c>
      <x:c r="K104" s="9" t="n">
        <x:f>IF(D104=0,"n.a.",E104/D104)</x:f>
        <x:v>0.08068805622353008</x:v>
      </x:c>
    </x:row>
    <x:row r="105" ht="22" customHeight="1">
      <x:c r="A105" s="6" t="str">
        <x:f>'Source'!$C$112</x:f>
        <x:v>Dothan, AL Metro Area</x:v>
      </x:c>
      <x:c r="B105" s="6" t="str">
        <x:f>'Source'!$B$112</x:f>
        <x:v>20020</x:v>
      </x:c>
      <x:c r="C105" s="7" t="n">
        <x:f>'Source'!$D$112</x:f>
        <x:v>2024</x:v>
      </x:c>
      <x:c r="D105" s="8" t="n">
        <x:f>'Source'!$N$112</x:f>
        <x:v>20811</x:v>
      </x:c>
      <x:c r="E105" s="8" t="n">
        <x:f>'Source'!$AH$112</x:f>
        <x:v>2311</x:v>
      </x:c>
      <x:c r="F105" s="8" t="n">
        <x:f>D105-E105</x:f>
        <x:v>18500</x:v>
      </x:c>
      <x:c r="G105" s="8" t="n">
        <x:f>SUM('Source'!$Z$112,'Source'!$AB$112,'Source'!$AD$112,'Source'!$AF$112)</x:f>
        <x:v>8880</x:v>
      </x:c>
      <x:c r="H105" s="8" t="n">
        <x:f>'Source'!$AF$112</x:f>
        <x:v>4001</x:v>
      </x:c>
      <x:c r="I105" s="9" t="n">
        <x:f>IF(F105=0,"n.a.",G105/F105)</x:f>
        <x:v>0.48</x:v>
      </x:c>
      <x:c r="J105" s="9" t="n">
        <x:f>IF(F105=0,"n.a.",H105/F105)</x:f>
        <x:v>0.21627027027027027</x:v>
      </x:c>
      <x:c r="K105" s="9" t="n">
        <x:f>IF(D105=0,"n.a.",E105/D105)</x:f>
        <x:v>0.1110470424294844</x:v>
      </x:c>
    </x:row>
    <x:row r="106" ht="22" customHeight="1">
      <x:c r="A106" s="6" t="str">
        <x:f>'Source'!$C$113</x:f>
        <x:v>Dover, DE Metro Area</x:v>
      </x:c>
      <x:c r="B106" s="6" t="str">
        <x:f>'Source'!$B$113</x:f>
        <x:v>20100</x:v>
      </x:c>
      <x:c r="C106" s="7" t="n">
        <x:f>'Source'!$D$113</x:f>
        <x:v>2024</x:v>
      </x:c>
      <x:c r="D106" s="8" t="n">
        <x:f>'Source'!$N$113</x:f>
        <x:v>16968</x:v>
      </x:c>
      <x:c r="E106" s="8" t="n">
        <x:f>'Source'!$AH$113</x:f>
        <x:v>645</x:v>
      </x:c>
      <x:c r="F106" s="8" t="n">
        <x:f>D106-E106</x:f>
        <x:v>16323</x:v>
      </x:c>
      <x:c r="G106" s="8" t="n">
        <x:f>SUM('Source'!$Z$113,'Source'!$AB$113,'Source'!$AD$113,'Source'!$AF$113)</x:f>
        <x:v>8621</x:v>
      </x:c>
      <x:c r="H106" s="8" t="n">
        <x:f>'Source'!$AF$113</x:f>
        <x:v>3769</x:v>
      </x:c>
      <x:c r="I106" s="9" t="n">
        <x:f>IF(F106=0,"n.a.",G106/F106)</x:f>
        <x:v>0.5281504625375237</x:v>
      </x:c>
      <x:c r="J106" s="9" t="n">
        <x:f>IF(F106=0,"n.a.",H106/F106)</x:f>
        <x:v>0.23090118238068982</x:v>
      </x:c>
      <x:c r="K106" s="9" t="n">
        <x:f>IF(D106=0,"n.a.",E106/D106)</x:f>
        <x:v>0.038012729844413014</x:v>
      </x:c>
    </x:row>
    <x:row r="107" ht="22" customHeight="1">
      <x:c r="A107" s="6" t="str">
        <x:f>'Source'!$C$114</x:f>
        <x:v>Dubuque, IA Metro Area</x:v>
      </x:c>
      <x:c r="B107" s="6" t="str">
        <x:f>'Source'!$B$114</x:f>
        <x:v>20220</x:v>
      </x:c>
      <x:c r="C107" s="7" t="n">
        <x:f>'Source'!$D$114</x:f>
        <x:v>2024</x:v>
      </x:c>
      <x:c r="D107" s="8" t="n">
        <x:f>'Source'!$N$114</x:f>
        <x:v>10392</x:v>
      </x:c>
      <x:c r="E107" s="8" t="n">
        <x:f>'Source'!$AH$114</x:f>
        <x:v>647</x:v>
      </x:c>
      <x:c r="F107" s="8" t="n">
        <x:f>D107-E107</x:f>
        <x:v>9745</x:v>
      </x:c>
      <x:c r="G107" s="8" t="n">
        <x:f>SUM('Source'!$Z$114,'Source'!$AB$114,'Source'!$AD$114,'Source'!$AF$114)</x:f>
        <x:v>4240</x:v>
      </x:c>
      <x:c r="H107" s="8" t="n">
        <x:f>'Source'!$AF$114</x:f>
        <x:v>3066</x:v>
      </x:c>
      <x:c r="I107" s="9" t="n">
        <x:f>IF(F107=0,"n.a.",G107/F107)</x:f>
        <x:v>0.43509492047203696</x:v>
      </x:c>
      <x:c r="J107" s="9" t="n">
        <x:f>IF(F107=0,"n.a.",H107/F107)</x:f>
        <x:v>0.3146228835300154</x:v>
      </x:c>
      <x:c r="K107" s="9" t="n">
        <x:f>IF(D107=0,"n.a.",E107/D107)</x:f>
        <x:v>0.062259430331023866</x:v>
      </x:c>
    </x:row>
    <x:row r="108" ht="22" customHeight="1">
      <x:c r="A108" s="6" t="str">
        <x:f>'Source'!$C$115</x:f>
        <x:v>Duluth, MN-WI Metro Area</x:v>
      </x:c>
      <x:c r="B108" s="6" t="str">
        <x:f>'Source'!$B$115</x:f>
        <x:v>20260</x:v>
      </x:c>
      <x:c r="C108" s="7" t="n">
        <x:f>'Source'!$D$115</x:f>
        <x:v>2024</x:v>
      </x:c>
      <x:c r="D108" s="8" t="n">
        <x:f>'Source'!$N$115</x:f>
        <x:v>36752</x:v>
      </x:c>
      <x:c r="E108" s="8" t="n">
        <x:f>'Source'!$AH$115</x:f>
        <x:v>3097</x:v>
      </x:c>
      <x:c r="F108" s="8" t="n">
        <x:f>D108-E108</x:f>
        <x:v>33655</x:v>
      </x:c>
      <x:c r="G108" s="8" t="n">
        <x:f>SUM('Source'!$Z$115,'Source'!$AB$115,'Source'!$AD$115,'Source'!$AF$115)</x:f>
        <x:v>16090</x:v>
      </x:c>
      <x:c r="H108" s="8" t="n">
        <x:f>'Source'!$AF$115</x:f>
        <x:v>8106</x:v>
      </x:c>
      <x:c r="I108" s="9" t="n">
        <x:f>IF(F108=0,"n.a.",G108/F108)</x:f>
        <x:v>0.4780864656068935</x:v>
      </x:c>
      <x:c r="J108" s="9" t="n">
        <x:f>IF(F108=0,"n.a.",H108/F108)</x:f>
        <x:v>0.24085574208884267</x:v>
      </x:c>
      <x:c r="K108" s="9" t="n">
        <x:f>IF(D108=0,"n.a.",E108/D108)</x:f>
        <x:v>0.084267522855899</x:v>
      </x:c>
    </x:row>
    <x:row r="109" ht="22" customHeight="1">
      <x:c r="A109" s="6" t="str">
        <x:f>'Source'!$C$116</x:f>
        <x:v>Durham-Chapel Hill, NC Metro Area</x:v>
      </x:c>
      <x:c r="B109" s="6" t="str">
        <x:f>'Source'!$B$116</x:f>
        <x:v>20500</x:v>
      </x:c>
      <x:c r="C109" s="7" t="n">
        <x:f>'Source'!$D$116</x:f>
        <x:v>2024</x:v>
      </x:c>
      <x:c r="D109" s="8" t="n">
        <x:f>'Source'!$N$116</x:f>
        <x:v>100115</x:v>
      </x:c>
      <x:c r="E109" s="8" t="n">
        <x:f>'Source'!$AH$116</x:f>
        <x:v>3405</x:v>
      </x:c>
      <x:c r="F109" s="8" t="n">
        <x:f>D109-E109</x:f>
        <x:v>96710</x:v>
      </x:c>
      <x:c r="G109" s="8" t="n">
        <x:f>SUM('Source'!$Z$116,'Source'!$AB$116,'Source'!$AD$116,'Source'!$AF$116)</x:f>
        <x:v>55187</x:v>
      </x:c>
      <x:c r="H109" s="8" t="n">
        <x:f>'Source'!$AF$116</x:f>
        <x:v>26846</x:v>
      </x:c>
      <x:c r="I109" s="9" t="n">
        <x:f>IF(F109=0,"n.a.",G109/F109)</x:f>
        <x:v>0.570644193982008</x:v>
      </x:c>
      <x:c r="J109" s="9" t="n">
        <x:f>IF(F109=0,"n.a.",H109/F109)</x:f>
        <x:v>0.27759280322614</x:v>
      </x:c>
      <x:c r="K109" s="9" t="n">
        <x:f>IF(D109=0,"n.a.",E109/D109)</x:f>
        <x:v>0.03401088747939869</x:v>
      </x:c>
    </x:row>
    <x:row r="110" ht="22" customHeight="1">
      <x:c r="A110" s="6" t="str">
        <x:f>'Source'!$C$117</x:f>
        <x:v>Eau Claire, WI Metro Area</x:v>
      </x:c>
      <x:c r="B110" s="6" t="str">
        <x:f>'Source'!$B$117</x:f>
        <x:v>20740</x:v>
      </x:c>
      <x:c r="C110" s="7" t="n">
        <x:f>'Source'!$D$117</x:f>
        <x:v>2024</x:v>
      </x:c>
      <x:c r="D110" s="8" t="n">
        <x:f>'Source'!$N$117</x:f>
        <x:v>27736</x:v>
      </x:c>
      <x:c r="E110" s="8" t="n">
        <x:f>'Source'!$AH$117</x:f>
        <x:v>825</x:v>
      </x:c>
      <x:c r="F110" s="8" t="n">
        <x:f>D110-E110</x:f>
        <x:v>26911</x:v>
      </x:c>
      <x:c r="G110" s="8" t="n">
        <x:f>SUM('Source'!$Z$117,'Source'!$AB$117,'Source'!$AD$117,'Source'!$AF$117)</x:f>
        <x:v>12649</x:v>
      </x:c>
      <x:c r="H110" s="8" t="n">
        <x:f>'Source'!$AF$117</x:f>
        <x:v>6734</x:v>
      </x:c>
      <x:c r="I110" s="9" t="n">
        <x:f>IF(F110=0,"n.a.",G110/F110)</x:f>
        <x:v>0.4700308424064509</x:v>
      </x:c>
      <x:c r="J110" s="9" t="n">
        <x:f>IF(F110=0,"n.a.",H110/F110)</x:f>
        <x:v>0.2502322470365278</x:v>
      </x:c>
      <x:c r="K110" s="9" t="n">
        <x:f>IF(D110=0,"n.a.",E110/D110)</x:f>
        <x:v>0.029744736083068934</x:v>
      </x:c>
    </x:row>
    <x:row r="111" ht="22" customHeight="1">
      <x:c r="A111" s="6" t="str">
        <x:f>'Source'!$C$118</x:f>
        <x:v>El Centro, CA Metro Area</x:v>
      </x:c>
      <x:c r="B111" s="6" t="str">
        <x:f>'Source'!$B$118</x:f>
        <x:v>20940</x:v>
      </x:c>
      <x:c r="C111" s="7" t="n">
        <x:f>'Source'!$D$118</x:f>
        <x:v>2024</x:v>
      </x:c>
      <x:c r="D111" s="8" t="n">
        <x:f>'Source'!$N$118</x:f>
        <x:v>20406</x:v>
      </x:c>
      <x:c r="E111" s="8" t="n">
        <x:f>'Source'!$AH$118</x:f>
        <x:v>1344</x:v>
      </x:c>
      <x:c r="F111" s="8" t="n">
        <x:f>D111-E111</x:f>
        <x:v>19062</x:v>
      </x:c>
      <x:c r="G111" s="8" t="n">
        <x:f>SUM('Source'!$Z$118,'Source'!$AB$118,'Source'!$AD$118,'Source'!$AF$118)</x:f>
        <x:v>10026</x:v>
      </x:c>
      <x:c r="H111" s="8" t="n">
        <x:f>'Source'!$AF$118</x:f>
        <x:v>5680</x:v>
      </x:c>
      <x:c r="I111" s="9" t="n">
        <x:f>IF(F111=0,"n.a.",G111/F111)</x:f>
        <x:v>0.5259678942398489</x:v>
      </x:c>
      <x:c r="J111" s="9" t="n">
        <x:f>IF(F111=0,"n.a.",H111/F111)</x:f>
        <x:v>0.2979750288532158</x:v>
      </x:c>
      <x:c r="K111" s="9" t="n">
        <x:f>IF(D111=0,"n.a.",E111/D111)</x:f>
        <x:v>0.06586298147603646</x:v>
      </x:c>
    </x:row>
    <x:row r="112" ht="22" customHeight="1">
      <x:c r="A112" s="6" t="str">
        <x:f>'Source'!$C$119</x:f>
        <x:v>El Paso, TX Metro Area</x:v>
      </x:c>
      <x:c r="B112" s="6" t="str">
        <x:f>'Source'!$B$119</x:f>
        <x:v>21340</x:v>
      </x:c>
      <x:c r="C112" s="7" t="n">
        <x:f>'Source'!$D$119</x:f>
        <x:v>2024</x:v>
      </x:c>
      <x:c r="D112" s="8" t="n">
        <x:f>'Source'!$N$119</x:f>
        <x:v>107944</x:v>
      </x:c>
      <x:c r="E112" s="8" t="n">
        <x:f>'Source'!$AH$119</x:f>
        <x:v>5637</x:v>
      </x:c>
      <x:c r="F112" s="8" t="n">
        <x:f>D112-E112</x:f>
        <x:v>102307</x:v>
      </x:c>
      <x:c r="G112" s="8" t="n">
        <x:f>SUM('Source'!$Z$119,'Source'!$AB$119,'Source'!$AD$119,'Source'!$AF$119)</x:f>
        <x:v>58011</x:v>
      </x:c>
      <x:c r="H112" s="8" t="n">
        <x:f>'Source'!$AF$119</x:f>
        <x:v>27816</x:v>
      </x:c>
      <x:c r="I112" s="9" t="n">
        <x:f>IF(F112=0,"n.a.",G112/F112)</x:f>
        <x:v>0.5670286490660463</x:v>
      </x:c>
      <x:c r="J112" s="9" t="n">
        <x:f>IF(F112=0,"n.a.",H112/F112)</x:f>
        <x:v>0.2718875541263061</x:v>
      </x:c>
      <x:c r="K112" s="9" t="n">
        <x:f>IF(D112=0,"n.a.",E112/D112)</x:f>
        <x:v>0.052221522270807084</x:v>
      </x:c>
    </x:row>
    <x:row r="113" ht="22" customHeight="1">
      <x:c r="A113" s="6" t="str">
        <x:f>'Source'!$C$120</x:f>
        <x:v>Elizabethtown, KY Metro Area</x:v>
      </x:c>
      <x:c r="B113" s="6" t="str">
        <x:f>'Source'!$B$120</x:f>
        <x:v>21060</x:v>
      </x:c>
      <x:c r="C113" s="7" t="n">
        <x:f>'Source'!$D$120</x:f>
        <x:v>2024</x:v>
      </x:c>
      <x:c r="D113" s="8" t="n">
        <x:f>'Source'!$N$120</x:f>
        <x:v>18078</x:v>
      </x:c>
      <x:c r="E113" s="8" t="n">
        <x:f>'Source'!$AH$120</x:f>
        <x:v>361</x:v>
      </x:c>
      <x:c r="F113" s="8" t="n">
        <x:f>D113-E113</x:f>
        <x:v>17717</x:v>
      </x:c>
      <x:c r="G113" s="8" t="n">
        <x:f>SUM('Source'!$Z$120,'Source'!$AB$120,'Source'!$AD$120,'Source'!$AF$120)</x:f>
        <x:v>5404</x:v>
      </x:c>
      <x:c r="H113" s="8" t="n">
        <x:f>'Source'!$AF$120</x:f>
        <x:v>1910</x:v>
      </x:c>
      <x:c r="I113" s="9" t="n">
        <x:f>IF(F113=0,"n.a.",G113/F113)</x:f>
        <x:v>0.3050177795337811</x:v>
      </x:c>
      <x:c r="J113" s="9" t="n">
        <x:f>IF(F113=0,"n.a.",H113/F113)</x:f>
        <x:v>0.1078060619743749</x:v>
      </x:c>
      <x:c r="K113" s="9" t="n">
        <x:f>IF(D113=0,"n.a.",E113/D113)</x:f>
        <x:v>0.019969023122026773</x:v>
      </x:c>
    </x:row>
    <x:row r="114" ht="22" customHeight="1">
      <x:c r="A114" s="6" t="str">
        <x:f>'Source'!$C$121</x:f>
        <x:v>Elkhart-Goshen, IN Metro Area</x:v>
      </x:c>
      <x:c r="B114" s="6" t="str">
        <x:f>'Source'!$B$121</x:f>
        <x:v>21140</x:v>
      </x:c>
      <x:c r="C114" s="7" t="n">
        <x:f>'Source'!$D$121</x:f>
        <x:v>2024</x:v>
      </x:c>
      <x:c r="D114" s="8" t="n">
        <x:f>'Source'!$N$121</x:f>
        <x:v>21008</x:v>
      </x:c>
      <x:c r="E114" s="8" t="n">
        <x:f>'Source'!$AH$121</x:f>
        <x:v>1984</x:v>
      </x:c>
      <x:c r="F114" s="8" t="n">
        <x:f>D114-E114</x:f>
        <x:v>19024</x:v>
      </x:c>
      <x:c r="G114" s="8" t="n">
        <x:f>SUM('Source'!$Z$121,'Source'!$AB$121,'Source'!$AD$121,'Source'!$AF$121)</x:f>
        <x:v>7363</x:v>
      </x:c>
      <x:c r="H114" s="8" t="n">
        <x:f>'Source'!$AF$121</x:f>
        <x:v>3705</x:v>
      </x:c>
      <x:c r="I114" s="9" t="n">
        <x:f>IF(F114=0,"n.a.",G114/F114)</x:f>
        <x:v>0.38703742640874683</x:v>
      </x:c>
      <x:c r="J114" s="9" t="n">
        <x:f>IF(F114=0,"n.a.",H114/F114)</x:f>
        <x:v>0.19475399495374265</x:v>
      </x:c>
      <x:c r="K114" s="9" t="n">
        <x:f>IF(D114=0,"n.a.",E114/D114)</x:f>
        <x:v>0.09444021325209444</x:v>
      </x:c>
    </x:row>
    <x:row r="115" ht="22" customHeight="1">
      <x:c r="A115" s="6" t="str">
        <x:f>'Source'!$C$122</x:f>
        <x:v>Elmira, NY Metro Area</x:v>
      </x:c>
      <x:c r="B115" s="6" t="str">
        <x:f>'Source'!$B$122</x:f>
        <x:v>21300</x:v>
      </x:c>
      <x:c r="C115" s="7" t="n">
        <x:f>'Source'!$D$122</x:f>
        <x:v>2024</x:v>
      </x:c>
      <x:c r="D115" s="8" t="n">
        <x:f>'Source'!$N$122</x:f>
        <x:v>11793</x:v>
      </x:c>
      <x:c r="E115" s="8" t="n">
        <x:f>'Source'!$AH$122</x:f>
        <x:v>1325</x:v>
      </x:c>
      <x:c r="F115" s="8" t="n">
        <x:f>D115-E115</x:f>
        <x:v>10468</x:v>
      </x:c>
      <x:c r="G115" s="8" t="n">
        <x:f>SUM('Source'!$Z$122,'Source'!$AB$122,'Source'!$AD$122,'Source'!$AF$122)</x:f>
        <x:v>4909</x:v>
      </x:c>
      <x:c r="H115" s="8" t="n">
        <x:f>'Source'!$AF$122</x:f>
        <x:v>2908</x:v>
      </x:c>
      <x:c r="I115" s="9" t="n">
        <x:f>IF(F115=0,"n.a.",G115/F115)</x:f>
        <x:v>0.46895299961788306</x:v>
      </x:c>
      <x:c r="J115" s="9" t="n">
        <x:f>IF(F115=0,"n.a.",H115/F115)</x:f>
        <x:v>0.27779900649598777</x:v>
      </x:c>
      <x:c r="K115" s="9" t="n">
        <x:f>IF(D115=0,"n.a.",E115/D115)</x:f>
        <x:v>0.11235478673789537</x:v>
      </x:c>
    </x:row>
    <x:row r="116" ht="22" customHeight="1">
      <x:c r="A116" s="6" t="str">
        <x:f>'Source'!$C$123</x:f>
        <x:v>Enid, OK Metro Area</x:v>
      </x:c>
      <x:c r="B116" s="6" t="str">
        <x:f>'Source'!$B$123</x:f>
        <x:v>21420</x:v>
      </x:c>
      <x:c r="C116" s="7" t="n">
        <x:f>'Source'!$D$123</x:f>
        <x:v>2024</x:v>
      </x:c>
      <x:c r="D116" s="8" t="n">
        <x:f>'Source'!$N$123</x:f>
        <x:v>6544</x:v>
      </x:c>
      <x:c r="E116" s="8" t="n">
        <x:f>'Source'!$AH$123</x:f>
        <x:v>645</x:v>
      </x:c>
      <x:c r="F116" s="8" t="n">
        <x:f>D116-E116</x:f>
        <x:v>5899</x:v>
      </x:c>
      <x:c r="G116" s="8" t="n">
        <x:f>SUM('Source'!$Z$123,'Source'!$AB$123,'Source'!$AD$123,'Source'!$AF$123)</x:f>
        <x:v>2291</x:v>
      </x:c>
      <x:c r="H116" s="8" t="n">
        <x:f>'Source'!$AF$123</x:f>
        <x:v>1108</x:v>
      </x:c>
      <x:c r="I116" s="9" t="n">
        <x:f>IF(F116=0,"n.a.",G116/F116)</x:f>
        <x:v>0.3883709103237837</x:v>
      </x:c>
      <x:c r="J116" s="9" t="n">
        <x:f>IF(F116=0,"n.a.",H116/F116)</x:f>
        <x:v>0.18782844549923716</x:v>
      </x:c>
      <x:c r="K116" s="9" t="n">
        <x:f>IF(D116=0,"n.a.",E116/D116)</x:f>
        <x:v>0.09856356968215159</x:v>
      </x:c>
    </x:row>
    <x:row r="117" ht="22" customHeight="1">
      <x:c r="A117" s="6" t="str">
        <x:f>'Source'!$C$124</x:f>
        <x:v>Erie, PA Metro Area</x:v>
      </x:c>
      <x:c r="B117" s="6" t="str">
        <x:f>'Source'!$B$124</x:f>
        <x:v>21500</x:v>
      </x:c>
      <x:c r="C117" s="7" t="n">
        <x:f>'Source'!$D$124</x:f>
        <x:v>2024</x:v>
      </x:c>
      <x:c r="D117" s="8" t="n">
        <x:f>'Source'!$N$124</x:f>
        <x:v>38504</x:v>
      </x:c>
      <x:c r="E117" s="8" t="n">
        <x:f>'Source'!$AH$124</x:f>
        <x:v>2799</x:v>
      </x:c>
      <x:c r="F117" s="8" t="n">
        <x:f>D117-E117</x:f>
        <x:v>35705</x:v>
      </x:c>
      <x:c r="G117" s="8" t="n">
        <x:f>SUM('Source'!$Z$124,'Source'!$AB$124,'Source'!$AD$124,'Source'!$AF$124)</x:f>
        <x:v>17219</x:v>
      </x:c>
      <x:c r="H117" s="8" t="n">
        <x:f>'Source'!$AF$124</x:f>
        <x:v>8781</x:v>
      </x:c>
      <x:c r="I117" s="9" t="n">
        <x:f>IF(F117=0,"n.a.",G117/F117)</x:f>
        <x:v>0.48225738692059933</x:v>
      </x:c>
      <x:c r="J117" s="9" t="n">
        <x:f>IF(F117=0,"n.a.",H117/F117)</x:f>
        <x:v>0.2459319423049993</x:v>
      </x:c>
      <x:c r="K117" s="9" t="n">
        <x:f>IF(D117=0,"n.a.",E117/D117)</x:f>
        <x:v>0.07269374610430085</x:v>
      </x:c>
    </x:row>
    <x:row r="118" ht="22" customHeight="1">
      <x:c r="A118" s="6" t="str">
        <x:f>'Source'!$C$125</x:f>
        <x:v>Eugene-Springfield, OR Metro Area</x:v>
      </x:c>
      <x:c r="B118" s="6" t="str">
        <x:f>'Source'!$B$125</x:f>
        <x:v>21660</x:v>
      </x:c>
      <x:c r="C118" s="7" t="n">
        <x:f>'Source'!$D$125</x:f>
        <x:v>2024</x:v>
      </x:c>
      <x:c r="D118" s="8" t="n">
        <x:f>'Source'!$N$125</x:f>
        <x:v>64504</x:v>
      </x:c>
      <x:c r="E118" s="8" t="n">
        <x:f>'Source'!$AH$125</x:f>
        <x:v>4878</x:v>
      </x:c>
      <x:c r="F118" s="8" t="n">
        <x:f>D118-E118</x:f>
        <x:v>59626</x:v>
      </x:c>
      <x:c r="G118" s="8" t="n">
        <x:f>SUM('Source'!$Z$125,'Source'!$AB$125,'Source'!$AD$125,'Source'!$AF$125)</x:f>
        <x:v>32589</x:v>
      </x:c>
      <x:c r="H118" s="8" t="n">
        <x:f>'Source'!$AF$125</x:f>
        <x:v>17882</x:v>
      </x:c>
      <x:c r="I118" s="9" t="n">
        <x:f>IF(F118=0,"n.a.",G118/F118)</x:f>
        <x:v>0.5465568711635863</x:v>
      </x:c>
      <x:c r="J118" s="9" t="n">
        <x:f>IF(F118=0,"n.a.",H118/F118)</x:f>
        <x:v>0.29990272699828935</x:v>
      </x:c>
      <x:c r="K118" s="9" t="n">
        <x:f>IF(D118=0,"n.a.",E118/D118)</x:f>
        <x:v>0.07562321716482699</x:v>
      </x:c>
    </x:row>
    <x:row r="119" ht="22" customHeight="1">
      <x:c r="A119" s="6" t="str">
        <x:f>'Source'!$C$126</x:f>
        <x:v>Evansville, IN Metro Area</x:v>
      </x:c>
      <x:c r="B119" s="6" t="str">
        <x:f>'Source'!$B$126</x:f>
        <x:v>21780</x:v>
      </x:c>
      <x:c r="C119" s="7" t="n">
        <x:f>'Source'!$D$126</x:f>
        <x:v>2024</x:v>
      </x:c>
      <x:c r="D119" s="8" t="n">
        <x:f>'Source'!$N$126</x:f>
        <x:v>32665</x:v>
      </x:c>
      <x:c r="E119" s="8" t="n">
        <x:f>'Source'!$AH$126</x:f>
        <x:v>2164</x:v>
      </x:c>
      <x:c r="F119" s="8" t="n">
        <x:f>D119-E119</x:f>
        <x:v>30501</x:v>
      </x:c>
      <x:c r="G119" s="8" t="n">
        <x:f>SUM('Source'!$Z$126,'Source'!$AB$126,'Source'!$AD$126,'Source'!$AF$126)</x:f>
        <x:v>15573</x:v>
      </x:c>
      <x:c r="H119" s="8" t="n">
        <x:f>'Source'!$AF$126</x:f>
        <x:v>7804</x:v>
      </x:c>
      <x:c r="I119" s="9" t="n">
        <x:f>IF(F119=0,"n.a.",G119/F119)</x:f>
        <x:v>0.5105734238221697</x:v>
      </x:c>
      <x:c r="J119" s="9" t="n">
        <x:f>IF(F119=0,"n.a.",H119/F119)</x:f>
        <x:v>0.25586046359135767</x:v>
      </x:c>
      <x:c r="K119" s="9" t="n">
        <x:f>IF(D119=0,"n.a.",E119/D119)</x:f>
        <x:v>0.066248277973366</x:v>
      </x:c>
    </x:row>
    <x:row r="120" ht="22" customHeight="1">
      <x:c r="A120" s="6" t="str">
        <x:f>'Source'!$C$127</x:f>
        <x:v>Fairbanks-College, AK Metro Area</x:v>
      </x:c>
      <x:c r="B120" s="6" t="str">
        <x:f>'Source'!$B$127</x:f>
        <x:v>21820</x:v>
      </x:c>
      <x:c r="C120" s="7" t="n">
        <x:f>'Source'!$D$127</x:f>
        <x:v>2024</x:v>
      </x:c>
      <x:c r="D120" s="8" t="n">
        <x:f>'Source'!$N$127</x:f>
        <x:v>12841</x:v>
      </x:c>
      <x:c r="E120" s="8" t="n">
        <x:f>'Source'!$AH$127</x:f>
        <x:v>1060</x:v>
      </x:c>
      <x:c r="F120" s="8" t="n">
        <x:f>D120-E120</x:f>
        <x:v>11781</x:v>
      </x:c>
      <x:c r="G120" s="8" t="n">
        <x:f>SUM('Source'!$Z$127,'Source'!$AB$127,'Source'!$AD$127,'Source'!$AF$127)</x:f>
        <x:v>5435</x:v>
      </x:c>
      <x:c r="H120" s="8" t="n">
        <x:f>'Source'!$AF$127</x:f>
        <x:v>1685</x:v>
      </x:c>
      <x:c r="I120" s="9" t="n">
        <x:f>IF(F120=0,"n.a.",G120/F120)</x:f>
        <x:v>0.46133604957134366</x:v>
      </x:c>
      <x:c r="J120" s="9" t="n">
        <x:f>IF(F120=0,"n.a.",H120/F120)</x:f>
        <x:v>0.1430269077327901</x:v>
      </x:c>
      <x:c r="K120" s="9" t="n">
        <x:f>IF(D120=0,"n.a.",E120/D120)</x:f>
        <x:v>0.08254808815512811</x:v>
      </x:c>
    </x:row>
    <x:row r="121" ht="22" customHeight="1">
      <x:c r="A121" s="6" t="str">
        <x:f>'Source'!$C$128</x:f>
        <x:v>Fargo, ND-MN Metro Area</x:v>
      </x:c>
      <x:c r="B121" s="6" t="str">
        <x:f>'Source'!$B$128</x:f>
        <x:v>22020</x:v>
      </x:c>
      <x:c r="C121" s="7" t="n">
        <x:f>'Source'!$D$128</x:f>
        <x:v>2024</x:v>
      </x:c>
      <x:c r="D121" s="8" t="n">
        <x:f>'Source'!$N$128</x:f>
        <x:v>54893</x:v>
      </x:c>
      <x:c r="E121" s="8" t="n">
        <x:f>'Source'!$AH$128</x:f>
        <x:v>2287</x:v>
      </x:c>
      <x:c r="F121" s="8" t="n">
        <x:f>D121-E121</x:f>
        <x:v>52606</x:v>
      </x:c>
      <x:c r="G121" s="8" t="n">
        <x:f>SUM('Source'!$Z$128,'Source'!$AB$128,'Source'!$AD$128,'Source'!$AF$128)</x:f>
        <x:v>21270</x:v>
      </x:c>
      <x:c r="H121" s="8" t="n">
        <x:f>'Source'!$AF$128</x:f>
        <x:v>11486</x:v>
      </x:c>
      <x:c r="I121" s="9" t="n">
        <x:f>IF(F121=0,"n.a.",G121/F121)</x:f>
        <x:v>0.4043265026803026</x:v>
      </x:c>
      <x:c r="J121" s="9" t="n">
        <x:f>IF(F121=0,"n.a.",H121/F121)</x:f>
        <x:v>0.2183401132950614</x:v>
      </x:c>
      <x:c r="K121" s="9" t="n">
        <x:f>IF(D121=0,"n.a.",E121/D121)</x:f>
        <x:v>0.0416628714043685</x:v>
      </x:c>
    </x:row>
    <x:row r="122" ht="22" customHeight="1">
      <x:c r="A122" s="6" t="str">
        <x:f>'Source'!$C$129</x:f>
        <x:v>Farmington, NM Metro Area</x:v>
      </x:c>
      <x:c r="B122" s="6" t="str">
        <x:f>'Source'!$B$129</x:f>
        <x:v>22140</x:v>
      </x:c>
      <x:c r="C122" s="7" t="n">
        <x:f>'Source'!$D$129</x:f>
        <x:v>2024</x:v>
      </x:c>
      <x:c r="D122" s="8" t="n">
        <x:f>'Source'!$N$129</x:f>
        <x:v>11019</x:v>
      </x:c>
      <x:c r="E122" s="8" t="n">
        <x:f>'Source'!$AH$129</x:f>
        <x:v>2498</x:v>
      </x:c>
      <x:c r="F122" s="8" t="n">
        <x:f>D122-E122</x:f>
        <x:v>8521</x:v>
      </x:c>
      <x:c r="G122" s="8" t="n">
        <x:f>SUM('Source'!$Z$129,'Source'!$AB$129,'Source'!$AD$129,'Source'!$AF$129)</x:f>
        <x:v>2817</x:v>
      </x:c>
      <x:c r="H122" s="8" t="n">
        <x:f>'Source'!$AF$129</x:f>
        <x:v>1430</x:v>
      </x:c>
      <x:c r="I122" s="9" t="n">
        <x:f>IF(F122=0,"n.a.",G122/F122)</x:f>
        <x:v>0.3305950005867856</x:v>
      </x:c>
      <x:c r="J122" s="9" t="n">
        <x:f>IF(F122=0,"n.a.",H122/F122)</x:f>
        <x:v>0.16782067832414035</x:v>
      </x:c>
      <x:c r="K122" s="9" t="n">
        <x:f>IF(D122=0,"n.a.",E122/D122)</x:f>
        <x:v>0.22669933750794083</x:v>
      </x:c>
    </x:row>
    <x:row r="123" ht="22" customHeight="1">
      <x:c r="A123" s="6" t="str">
        <x:f>'Source'!$C$130</x:f>
        <x:v>Fayetteville, NC Metro Area</x:v>
      </x:c>
      <x:c r="B123" s="6" t="str">
        <x:f>'Source'!$B$130</x:f>
        <x:v>22180</x:v>
      </x:c>
      <x:c r="C123" s="7" t="n">
        <x:f>'Source'!$D$130</x:f>
        <x:v>2024</x:v>
      </x:c>
      <x:c r="D123" s="8" t="n">
        <x:f>'Source'!$N$130</x:f>
        <x:v>59173</x:v>
      </x:c>
      <x:c r="E123" s="8" t="n">
        <x:f>'Source'!$AH$130</x:f>
        <x:v>4703</x:v>
      </x:c>
      <x:c r="F123" s="8" t="n">
        <x:f>D123-E123</x:f>
        <x:v>54470</x:v>
      </x:c>
      <x:c r="G123" s="8" t="n">
        <x:f>SUM('Source'!$Z$130,'Source'!$AB$130,'Source'!$AD$130,'Source'!$AF$130)</x:f>
        <x:v>32599</x:v>
      </x:c>
      <x:c r="H123" s="8" t="n">
        <x:f>'Source'!$AF$130</x:f>
        <x:v>13962</x:v>
      </x:c>
      <x:c r="I123" s="9" t="n">
        <x:f>IF(F123=0,"n.a.",G123/F123)</x:f>
        <x:v>0.5984762254451992</x:v>
      </x:c>
      <x:c r="J123" s="9" t="n">
        <x:f>IF(F123=0,"n.a.",H123/F123)</x:f>
        <x:v>0.25632458233890215</x:v>
      </x:c>
      <x:c r="K123" s="9" t="n">
        <x:f>IF(D123=0,"n.a.",E123/D123)</x:f>
        <x:v>0.07947881635205245</x:v>
      </x:c>
    </x:row>
    <x:row r="124" ht="22" customHeight="1">
      <x:c r="A124" s="6" t="str">
        <x:f>'Source'!$C$131</x:f>
        <x:v>Fayetteville-Springdale-Rogers, AR Metro Area</x:v>
      </x:c>
      <x:c r="B124" s="6" t="str">
        <x:f>'Source'!$B$131</x:f>
        <x:v>22220</x:v>
      </x:c>
      <x:c r="C124" s="7" t="n">
        <x:f>'Source'!$D$131</x:f>
        <x:v>2024</x:v>
      </x:c>
      <x:c r="D124" s="8" t="n">
        <x:f>'Source'!$N$131</x:f>
        <x:v>87526</x:v>
      </x:c>
      <x:c r="E124" s="8" t="n">
        <x:f>'Source'!$AH$131</x:f>
        <x:v>8233</x:v>
      </x:c>
      <x:c r="F124" s="8" t="n">
        <x:f>D124-E124</x:f>
        <x:v>79293</x:v>
      </x:c>
      <x:c r="G124" s="8" t="n">
        <x:f>SUM('Source'!$Z$131,'Source'!$AB$131,'Source'!$AD$131,'Source'!$AF$131)</x:f>
        <x:v>34045</x:v>
      </x:c>
      <x:c r="H124" s="8" t="n">
        <x:f>'Source'!$AF$131</x:f>
        <x:v>14710</x:v>
      </x:c>
      <x:c r="I124" s="9" t="n">
        <x:f>IF(F124=0,"n.a.",G124/F124)</x:f>
        <x:v>0.4293569419747014</x:v>
      </x:c>
      <x:c r="J124" s="9" t="n">
        <x:f>IF(F124=0,"n.a.",H124/F124)</x:f>
        <x:v>0.18551448425460002</x:v>
      </x:c>
      <x:c r="K124" s="9" t="n">
        <x:f>IF(D124=0,"n.a.",E124/D124)</x:f>
        <x:v>0.09406347828073944</x:v>
      </x:c>
    </x:row>
    <x:row r="125" ht="22" customHeight="1">
      <x:c r="A125" s="6" t="str">
        <x:f>'Source'!$C$132</x:f>
        <x:v>Flagstaff, AZ Metro Area</x:v>
      </x:c>
      <x:c r="B125" s="6" t="str">
        <x:f>'Source'!$B$132</x:f>
        <x:v>22380</x:v>
      </x:c>
      <x:c r="C125" s="7" t="n">
        <x:f>'Source'!$D$132</x:f>
        <x:v>2024</x:v>
      </x:c>
      <x:c r="D125" s="8" t="n">
        <x:f>'Source'!$N$132</x:f>
        <x:v>21971</x:v>
      </x:c>
      <x:c r="E125" s="8" t="n">
        <x:f>'Source'!$AH$132</x:f>
        <x:v>1628</x:v>
      </x:c>
      <x:c r="F125" s="8" t="n">
        <x:f>D125-E125</x:f>
        <x:v>20343</x:v>
      </x:c>
      <x:c r="G125" s="8" t="n">
        <x:f>SUM('Source'!$Z$132,'Source'!$AB$132,'Source'!$AD$132,'Source'!$AF$132)</x:f>
        <x:v>9945</x:v>
      </x:c>
      <x:c r="H125" s="8" t="n">
        <x:f>'Source'!$AF$132</x:f>
        <x:v>6407</x:v>
      </x:c>
      <x:c r="I125" s="9" t="n">
        <x:f>IF(F125=0,"n.a.",G125/F125)</x:f>
        <x:v>0.4888659489750774</x:v>
      </x:c>
      <x:c r="J125" s="9" t="n">
        <x:f>IF(F125=0,"n.a.",H125/F125)</x:f>
        <x:v>0.31494863097871506</x:v>
      </x:c>
      <x:c r="K125" s="9" t="n">
        <x:f>IF(D125=0,"n.a.",E125/D125)</x:f>
        <x:v>0.0740976742069091</x:v>
      </x:c>
    </x:row>
    <x:row r="126" ht="22" customHeight="1">
      <x:c r="A126" s="6" t="str">
        <x:f>'Source'!$C$133</x:f>
        <x:v>Flint, MI Metro Area</x:v>
      </x:c>
      <x:c r="B126" s="6" t="str">
        <x:f>'Source'!$B$133</x:f>
        <x:v>22420</x:v>
      </x:c>
      <x:c r="C126" s="7" t="n">
        <x:f>'Source'!$D$133</x:f>
        <x:v>2024</x:v>
      </x:c>
      <x:c r="D126" s="8" t="n">
        <x:f>'Source'!$N$133</x:f>
        <x:v>48642</x:v>
      </x:c>
      <x:c r="E126" s="8" t="n">
        <x:f>'Source'!$AH$133</x:f>
        <x:v>3504</x:v>
      </x:c>
      <x:c r="F126" s="8" t="n">
        <x:f>D126-E126</x:f>
        <x:v>45138</x:v>
      </x:c>
      <x:c r="G126" s="8" t="n">
        <x:f>SUM('Source'!$Z$133,'Source'!$AB$133,'Source'!$AD$133,'Source'!$AF$133)</x:f>
        <x:v>23148</x:v>
      </x:c>
      <x:c r="H126" s="8" t="n">
        <x:f>'Source'!$AF$133</x:f>
        <x:v>11823</x:v>
      </x:c>
      <x:c r="I126" s="9" t="n">
        <x:f>IF(F126=0,"n.a.",G126/F126)</x:f>
        <x:v>0.5128273295227967</x:v>
      </x:c>
      <x:c r="J126" s="9" t="n">
        <x:f>IF(F126=0,"n.a.",H126/F126)</x:f>
        <x:v>0.2619300810846737</x:v>
      </x:c>
      <x:c r="K126" s="9" t="n">
        <x:f>IF(D126=0,"n.a.",E126/D126)</x:f>
        <x:v>0.07203651165659307</x:v>
      </x:c>
    </x:row>
    <x:row r="127" ht="22" customHeight="1">
      <x:c r="A127" s="6" t="str">
        <x:f>'Source'!$C$134</x:f>
        <x:v>Florence, SC Metro Area</x:v>
      </x:c>
      <x:c r="B127" s="6" t="str">
        <x:f>'Source'!$B$134</x:f>
        <x:v>22500</x:v>
      </x:c>
      <x:c r="C127" s="7" t="n">
        <x:f>'Source'!$D$134</x:f>
        <x:v>2024</x:v>
      </x:c>
      <x:c r="D127" s="8" t="n">
        <x:f>'Source'!$N$134</x:f>
        <x:v>25730</x:v>
      </x:c>
      <x:c r="E127" s="8" t="n">
        <x:f>'Source'!$AH$134</x:f>
        <x:v>3646</x:v>
      </x:c>
      <x:c r="F127" s="8" t="n">
        <x:f>D127-E127</x:f>
        <x:v>22084</x:v>
      </x:c>
      <x:c r="G127" s="8" t="n">
        <x:f>SUM('Source'!$Z$134,'Source'!$AB$134,'Source'!$AD$134,'Source'!$AF$134)</x:f>
        <x:v>11755</x:v>
      </x:c>
      <x:c r="H127" s="8" t="n">
        <x:f>'Source'!$AF$134</x:f>
        <x:v>7387</x:v>
      </x:c>
      <x:c r="I127" s="9" t="n">
        <x:f>IF(F127=0,"n.a.",G127/F127)</x:f>
        <x:v>0.5322858177866329</x:v>
      </x:c>
      <x:c r="J127" s="9" t="n">
        <x:f>IF(F127=0,"n.a.",H127/F127)</x:f>
        <x:v>0.3344955623981163</x:v>
      </x:c>
      <x:c r="K127" s="9" t="n">
        <x:f>IF(D127=0,"n.a.",E127/D127)</x:f>
        <x:v>0.1417022930431403</x:v>
      </x:c>
    </x:row>
    <x:row r="128" ht="22" customHeight="1">
      <x:c r="A128" s="6" t="str">
        <x:f>'Source'!$C$135</x:f>
        <x:v>Florence-Muscle Shoals, AL Metro Area</x:v>
      </x:c>
      <x:c r="B128" s="6" t="str">
        <x:f>'Source'!$B$135</x:f>
        <x:v>22520</x:v>
      </x:c>
      <x:c r="C128" s="7" t="n">
        <x:f>'Source'!$D$135</x:f>
        <x:v>2024</x:v>
      </x:c>
      <x:c r="D128" s="8" t="n">
        <x:f>'Source'!$N$135</x:f>
        <x:v>17757</x:v>
      </x:c>
      <x:c r="E128" s="8" t="n">
        <x:f>'Source'!$AH$135</x:f>
        <x:v>2488</x:v>
      </x:c>
      <x:c r="F128" s="8" t="n">
        <x:f>D128-E128</x:f>
        <x:v>15269</x:v>
      </x:c>
      <x:c r="G128" s="8" t="n">
        <x:f>SUM('Source'!$Z$135,'Source'!$AB$135,'Source'!$AD$135,'Source'!$AF$135)</x:f>
        <x:v>5857</x:v>
      </x:c>
      <x:c r="H128" s="8" t="n">
        <x:f>'Source'!$AF$135</x:f>
        <x:v>3353</x:v>
      </x:c>
      <x:c r="I128" s="9" t="n">
        <x:f>IF(F128=0,"n.a.",G128/F128)</x:f>
        <x:v>0.3835876612744777</x:v>
      </x:c>
      <x:c r="J128" s="9" t="n">
        <x:f>IF(F128=0,"n.a.",H128/F128)</x:f>
        <x:v>0.2195952583666252</x:v>
      </x:c>
      <x:c r="K128" s="9" t="n">
        <x:f>IF(D128=0,"n.a.",E128/D128)</x:f>
        <x:v>0.14011375795460945</x:v>
      </x:c>
    </x:row>
    <x:row r="129" ht="22" customHeight="1">
      <x:c r="A129" s="6" t="str">
        <x:f>'Source'!$C$136</x:f>
        <x:v>Fond du Lac, WI Metro Area</x:v>
      </x:c>
      <x:c r="B129" s="6" t="str">
        <x:f>'Source'!$B$136</x:f>
        <x:v>22540</x:v>
      </x:c>
      <x:c r="C129" s="7" t="n">
        <x:f>'Source'!$D$136</x:f>
        <x:v>2024</x:v>
      </x:c>
      <x:c r="D129" s="8" t="n">
        <x:f>'Source'!$N$136</x:f>
        <x:v>12356</x:v>
      </x:c>
      <x:c r="E129" s="8" t="n">
        <x:f>'Source'!$AH$136</x:f>
        <x:v>348</x:v>
      </x:c>
      <x:c r="F129" s="8" t="n">
        <x:f>D129-E129</x:f>
        <x:v>12008</x:v>
      </x:c>
      <x:c r="G129" s="8" t="n">
        <x:f>SUM('Source'!$Z$136,'Source'!$AB$136,'Source'!$AD$136,'Source'!$AF$136)</x:f>
        <x:v>5054</x:v>
      </x:c>
      <x:c r="H129" s="8" t="n">
        <x:f>'Source'!$AF$136</x:f>
        <x:v>2200</x:v>
      </x:c>
      <x:c r="I129" s="9" t="n">
        <x:f>IF(F129=0,"n.a.",G129/F129)</x:f>
        <x:v>0.4208860759493671</x:v>
      </x:c>
      <x:c r="J129" s="9" t="n">
        <x:f>IF(F129=0,"n.a.",H129/F129)</x:f>
        <x:v>0.18321119253830778</x:v>
      </x:c>
      <x:c r="K129" s="9" t="n">
        <x:f>IF(D129=0,"n.a.",E129/D129)</x:f>
        <x:v>0.028164454516024603</x:v>
      </x:c>
    </x:row>
    <x:row r="130" ht="22" customHeight="1">
      <x:c r="A130" s="6" t="str">
        <x:f>'Source'!$C$137</x:f>
        <x:v>Fort Collins-Loveland, CO Metro Area</x:v>
      </x:c>
      <x:c r="B130" s="6" t="str">
        <x:f>'Source'!$B$137</x:f>
        <x:v>22660</x:v>
      </x:c>
      <x:c r="C130" s="7" t="n">
        <x:f>'Source'!$D$137</x:f>
        <x:v>2024</x:v>
      </x:c>
      <x:c r="D130" s="8" t="n">
        <x:f>'Source'!$N$137</x:f>
        <x:v>59053</x:v>
      </x:c>
      <x:c r="E130" s="8" t="n">
        <x:f>'Source'!$AH$137</x:f>
        <x:v>2421</x:v>
      </x:c>
      <x:c r="F130" s="8" t="n">
        <x:f>D130-E130</x:f>
        <x:v>56632</x:v>
      </x:c>
      <x:c r="G130" s="8" t="n">
        <x:f>SUM('Source'!$Z$137,'Source'!$AB$137,'Source'!$AD$137,'Source'!$AF$137)</x:f>
        <x:v>32741</x:v>
      </x:c>
      <x:c r="H130" s="8" t="n">
        <x:f>'Source'!$AF$137</x:f>
        <x:v>14789</x:v>
      </x:c>
      <x:c r="I130" s="9" t="n">
        <x:f>IF(F130=0,"n.a.",G130/F130)</x:f>
        <x:v>0.5781360361632999</x:v>
      </x:c>
      <x:c r="J130" s="9" t="n">
        <x:f>IF(F130=0,"n.a.",H130/F130)</x:f>
        <x:v>0.2611421104675802</x:v>
      </x:c>
      <x:c r="K130" s="9" t="n">
        <x:f>IF(D130=0,"n.a.",E130/D130)</x:f>
        <x:v>0.04099707042825936</x:v>
      </x:c>
    </x:row>
    <x:row r="131" ht="22" customHeight="1">
      <x:c r="A131" s="6" t="str">
        <x:f>'Source'!$C$138</x:f>
        <x:v>Fort Smith, AR-OK Metro Area</x:v>
      </x:c>
      <x:c r="B131" s="6" t="str">
        <x:f>'Source'!$B$138</x:f>
        <x:v>22900</x:v>
      </x:c>
      <x:c r="C131" s="7" t="n">
        <x:f>'Source'!$D$138</x:f>
        <x:v>2024</x:v>
      </x:c>
      <x:c r="D131" s="8" t="n">
        <x:f>'Source'!$N$138</x:f>
        <x:v>31428</x:v>
      </x:c>
      <x:c r="E131" s="8" t="n">
        <x:f>'Source'!$AH$138</x:f>
        <x:v>3189</x:v>
      </x:c>
      <x:c r="F131" s="8" t="n">
        <x:f>D131-E131</x:f>
        <x:v>28239</x:v>
      </x:c>
      <x:c r="G131" s="8" t="n">
        <x:f>SUM('Source'!$Z$138,'Source'!$AB$138,'Source'!$AD$138,'Source'!$AF$138)</x:f>
        <x:v>11242</x:v>
      </x:c>
      <x:c r="H131" s="8" t="n">
        <x:f>'Source'!$AF$138</x:f>
        <x:v>4396</x:v>
      </x:c>
      <x:c r="I131" s="9" t="n">
        <x:f>IF(F131=0,"n.a.",G131/F131)</x:f>
        <x:v>0.3981019157902192</x:v>
      </x:c>
      <x:c r="J131" s="9" t="n">
        <x:f>IF(F131=0,"n.a.",H131/F131)</x:f>
        <x:v>0.1556712348170969</x:v>
      </x:c>
      <x:c r="K131" s="9" t="n">
        <x:f>IF(D131=0,"n.a.",E131/D131)</x:f>
        <x:v>0.10147002672775869</x:v>
      </x:c>
    </x:row>
    <x:row r="132" ht="22" customHeight="1">
      <x:c r="A132" s="6" t="str">
        <x:f>'Source'!$C$139</x:f>
        <x:v>Fort Wayne, IN Metro Area</x:v>
      </x:c>
      <x:c r="B132" s="6" t="str">
        <x:f>'Source'!$B$139</x:f>
        <x:v>23060</x:v>
      </x:c>
      <x:c r="C132" s="7" t="n">
        <x:f>'Source'!$D$139</x:f>
        <x:v>2024</x:v>
      </x:c>
      <x:c r="D132" s="8" t="n">
        <x:f>'Source'!$N$139</x:f>
        <x:v>52926</x:v>
      </x:c>
      <x:c r="E132" s="8" t="n">
        <x:f>'Source'!$AH$139</x:f>
        <x:v>3588</x:v>
      </x:c>
      <x:c r="F132" s="8" t="n">
        <x:f>D132-E132</x:f>
        <x:v>49338</x:v>
      </x:c>
      <x:c r="G132" s="8" t="n">
        <x:f>SUM('Source'!$Z$139,'Source'!$AB$139,'Source'!$AD$139,'Source'!$AF$139)</x:f>
        <x:v>23620</x:v>
      </x:c>
      <x:c r="H132" s="8" t="n">
        <x:f>'Source'!$AF$139</x:f>
        <x:v>11343</x:v>
      </x:c>
      <x:c r="I132" s="9" t="n">
        <x:f>IF(F132=0,"n.a.",G132/F132)</x:f>
        <x:v>0.47873849770967614</x:v>
      </x:c>
      <x:c r="J132" s="9" t="n">
        <x:f>IF(F132=0,"n.a.",H132/F132)</x:f>
        <x:v>0.22990392800681017</x:v>
      </x:c>
      <x:c r="K132" s="9" t="n">
        <x:f>IF(D132=0,"n.a.",E132/D132)</x:f>
        <x:v>0.06779276725994784</x:v>
      </x:c>
    </x:row>
    <x:row r="133" ht="22" customHeight="1">
      <x:c r="A133" s="6" t="str">
        <x:f>'Source'!$C$140</x:f>
        <x:v>Fresno, CA Metro Area</x:v>
      </x:c>
      <x:c r="B133" s="6" t="str">
        <x:f>'Source'!$B$140</x:f>
        <x:v>23420</x:v>
      </x:c>
      <x:c r="C133" s="7" t="n">
        <x:f>'Source'!$D$140</x:f>
        <x:v>2024</x:v>
      </x:c>
      <x:c r="D133" s="8" t="n">
        <x:f>'Source'!$N$140</x:f>
        <x:v>159932</x:v>
      </x:c>
      <x:c r="E133" s="8" t="n">
        <x:f>'Source'!$AH$140</x:f>
        <x:v>9942</x:v>
      </x:c>
      <x:c r="F133" s="8" t="n">
        <x:f>D133-E133</x:f>
        <x:v>149990</x:v>
      </x:c>
      <x:c r="G133" s="8" t="n">
        <x:f>SUM('Source'!$Z$140,'Source'!$AB$140,'Source'!$AD$140,'Source'!$AF$140)</x:f>
        <x:v>87872</x:v>
      </x:c>
      <x:c r="H133" s="8" t="n">
        <x:f>'Source'!$AF$140</x:f>
        <x:v>48187</x:v>
      </x:c>
      <x:c r="I133" s="9" t="n">
        <x:f>IF(F133=0,"n.a.",G133/F133)</x:f>
        <x:v>0.585852390159344</x:v>
      </x:c>
      <x:c r="J133" s="9" t="n">
        <x:f>IF(F133=0,"n.a.",H133/F133)</x:f>
        <x:v>0.32126808453896927</x:v>
      </x:c>
      <x:c r="K133" s="9" t="n">
        <x:f>IF(D133=0,"n.a.",E133/D133)</x:f>
        <x:v>0.06216391966585799</x:v>
      </x:c>
    </x:row>
    <x:row r="134" ht="22" customHeight="1">
      <x:c r="A134" s="6" t="str">
        <x:f>'Source'!$C$141</x:f>
        <x:v>Gadsden, AL Metro Area</x:v>
      </x:c>
      <x:c r="B134" s="6" t="str">
        <x:f>'Source'!$B$141</x:f>
        <x:v>23460</x:v>
      </x:c>
      <x:c r="C134" s="7" t="n">
        <x:f>'Source'!$D$141</x:f>
        <x:v>2024</x:v>
      </x:c>
      <x:c r="D134" s="8" t="n">
        <x:f>'Source'!$N$141</x:f>
        <x:v>10021</x:v>
      </x:c>
      <x:c r="E134" s="8" t="n">
        <x:f>'Source'!$AH$141</x:f>
        <x:v>1713</x:v>
      </x:c>
      <x:c r="F134" s="8" t="n">
        <x:f>D134-E134</x:f>
        <x:v>8308</x:v>
      </x:c>
      <x:c r="G134" s="8" t="n">
        <x:f>SUM('Source'!$Z$141,'Source'!$AB$141,'Source'!$AD$141,'Source'!$AF$141)</x:f>
        <x:v>3194</x:v>
      </x:c>
      <x:c r="H134" s="8" t="n">
        <x:f>'Source'!$AF$141</x:f>
        <x:v>1884</x:v>
      </x:c>
      <x:c r="I134" s="9" t="n">
        <x:f>IF(F134=0,"n.a.",G134/F134)</x:f>
        <x:v>0.38444872412132886</x:v>
      </x:c>
      <x:c r="J134" s="9" t="n">
        <x:f>IF(F134=0,"n.a.",H134/F134)</x:f>
        <x:v>0.22676937891189214</x:v>
      </x:c>
      <x:c r="K134" s="9" t="n">
        <x:f>IF(D134=0,"n.a.",E134/D134)</x:f>
        <x:v>0.1709410238499152</x:v>
      </x:c>
    </x:row>
    <x:row r="135" ht="22" customHeight="1">
      <x:c r="A135" s="6" t="str">
        <x:f>'Source'!$C$142</x:f>
        <x:v>Gainesville, FL Metro Area</x:v>
      </x:c>
      <x:c r="B135" s="6" t="str">
        <x:f>'Source'!$B$142</x:f>
        <x:v>23540</x:v>
      </x:c>
      <x:c r="C135" s="7" t="n">
        <x:f>'Source'!$D$142</x:f>
        <x:v>2024</x:v>
      </x:c>
      <x:c r="D135" s="8" t="n">
        <x:f>'Source'!$N$142</x:f>
        <x:v>61718</x:v>
      </x:c>
      <x:c r="E135" s="8" t="n">
        <x:f>'Source'!$AH$142</x:f>
        <x:v>4079</x:v>
      </x:c>
      <x:c r="F135" s="8" t="n">
        <x:f>D135-E135</x:f>
        <x:v>57639</x:v>
      </x:c>
      <x:c r="G135" s="8" t="n">
        <x:f>SUM('Source'!$Z$142,'Source'!$AB$142,'Source'!$AD$142,'Source'!$AF$142)</x:f>
        <x:v>37474</x:v>
      </x:c>
      <x:c r="H135" s="8" t="n">
        <x:f>'Source'!$AF$142</x:f>
        <x:v>25234</x:v>
      </x:c>
      <x:c r="I135" s="9" t="n">
        <x:f>IF(F135=0,"n.a.",G135/F135)</x:f>
        <x:v>0.6501500719998612</x:v>
      </x:c>
      <x:c r="J135" s="9" t="n">
        <x:f>IF(F135=0,"n.a.",H135/F135)</x:f>
        <x:v>0.43779385485521954</x:v>
      </x:c>
      <x:c r="K135" s="9" t="n">
        <x:f>IF(D135=0,"n.a.",E135/D135)</x:f>
        <x:v>0.0660909297125636</x:v>
      </x:c>
    </x:row>
    <x:row r="136" ht="22" customHeight="1">
      <x:c r="A136" s="6" t="str">
        <x:f>'Source'!$C$143</x:f>
        <x:v>Gainesville, GA Metro Area</x:v>
      </x:c>
      <x:c r="B136" s="6" t="str">
        <x:f>'Source'!$B$143</x:f>
        <x:v>23580</x:v>
      </x:c>
      <x:c r="C136" s="7" t="n">
        <x:f>'Source'!$D$143</x:f>
        <x:v>2024</x:v>
      </x:c>
      <x:c r="D136" s="8" t="n">
        <x:f>'Source'!$N$143</x:f>
        <x:v>23101</x:v>
      </x:c>
      <x:c r="E136" s="8" t="n">
        <x:f>'Source'!$AH$143</x:f>
        <x:v>1773</x:v>
      </x:c>
      <x:c r="F136" s="8" t="n">
        <x:f>D136-E136</x:f>
        <x:v>21328</x:v>
      </x:c>
      <x:c r="G136" s="8" t="n">
        <x:f>SUM('Source'!$Z$143,'Source'!$AB$143,'Source'!$AD$143,'Source'!$AF$143)</x:f>
        <x:v>11185</x:v>
      </x:c>
      <x:c r="H136" s="8" t="n">
        <x:f>'Source'!$AF$143</x:f>
        <x:v>4055</x:v>
      </x:c>
      <x:c r="I136" s="9" t="n">
        <x:f>IF(F136=0,"n.a.",G136/F136)</x:f>
        <x:v>0.5244279819954989</x:v>
      </x:c>
      <x:c r="J136" s="9" t="n">
        <x:f>IF(F136=0,"n.a.",H136/F136)</x:f>
        <x:v>0.19012565641410353</x:v>
      </x:c>
      <x:c r="K136" s="9" t="n">
        <x:f>IF(D136=0,"n.a.",E136/D136)</x:f>
        <x:v>0.07674992424570365</x:v>
      </x:c>
    </x:row>
    <x:row r="137" ht="22" customHeight="1">
      <x:c r="A137" s="6" t="str">
        <x:f>'Source'!$C$144</x:f>
        <x:v>Gettysburg, PA Metro Area</x:v>
      </x:c>
      <x:c r="B137" s="6" t="str">
        <x:f>'Source'!$B$144</x:f>
        <x:v>23900</x:v>
      </x:c>
      <x:c r="C137" s="7" t="n">
        <x:f>'Source'!$D$144</x:f>
        <x:v>2024</x:v>
      </x:c>
      <x:c r="D137" s="8" t="n">
        <x:f>'Source'!$N$144</x:f>
        <x:v>9291</x:v>
      </x:c>
      <x:c r="E137" s="8" t="n">
        <x:f>'Source'!$AH$144</x:f>
        <x:v>386</x:v>
      </x:c>
      <x:c r="F137" s="8" t="n">
        <x:f>D137-E137</x:f>
        <x:v>8905</x:v>
      </x:c>
      <x:c r="G137" s="8" t="n">
        <x:f>SUM('Source'!$Z$144,'Source'!$AB$144,'Source'!$AD$144,'Source'!$AF$144)</x:f>
        <x:v>4344</x:v>
      </x:c>
      <x:c r="H137" s="8" t="n">
        <x:f>'Source'!$AF$144</x:f>
        <x:v>1577</x:v>
      </x:c>
      <x:c r="I137" s="9" t="n">
        <x:f>IF(F137=0,"n.a.",G137/F137)</x:f>
        <x:v>0.4878158338012353</x:v>
      </x:c>
      <x:c r="J137" s="9" t="n">
        <x:f>IF(F137=0,"n.a.",H137/F137)</x:f>
        <x:v>0.17709152161706906</x:v>
      </x:c>
      <x:c r="K137" s="9" t="n">
        <x:f>IF(D137=0,"n.a.",E137/D137)</x:f>
        <x:v>0.04154558174577548</x:v>
      </x:c>
    </x:row>
    <x:row r="138" ht="22" customHeight="1">
      <x:c r="A138" s="6" t="str">
        <x:f>'Source'!$C$145</x:f>
        <x:v>Glens Falls, NY Metro Area</x:v>
      </x:c>
      <x:c r="B138" s="6" t="str">
        <x:f>'Source'!$B$145</x:f>
        <x:v>24020</x:v>
      </x:c>
      <x:c r="C138" s="7" t="n">
        <x:f>'Source'!$D$145</x:f>
        <x:v>2024</x:v>
      </x:c>
      <x:c r="D138" s="8" t="n">
        <x:f>'Source'!$N$145</x:f>
        <x:v>14263</x:v>
      </x:c>
      <x:c r="E138" s="8" t="n">
        <x:f>'Source'!$AH$145</x:f>
        <x:v>637</x:v>
      </x:c>
      <x:c r="F138" s="8" t="n">
        <x:f>D138-E138</x:f>
        <x:v>13626</x:v>
      </x:c>
      <x:c r="G138" s="8" t="n">
        <x:f>SUM('Source'!$Z$145,'Source'!$AB$145,'Source'!$AD$145,'Source'!$AF$145)</x:f>
        <x:v>7145</x:v>
      </x:c>
      <x:c r="H138" s="8" t="n">
        <x:f>'Source'!$AF$145</x:f>
        <x:v>3692</x:v>
      </x:c>
      <x:c r="I138" s="9" t="n">
        <x:f>IF(F138=0,"n.a.",G138/F138)</x:f>
        <x:v>0.5243651842066638</x:v>
      </x:c>
      <x:c r="J138" s="9" t="n">
        <x:f>IF(F138=0,"n.a.",H138/F138)</x:f>
        <x:v>0.27095259063554966</x:v>
      </x:c>
      <x:c r="K138" s="9" t="n">
        <x:f>IF(D138=0,"n.a.",E138/D138)</x:f>
        <x:v>0.04466101100750193</x:v>
      </x:c>
    </x:row>
    <x:row r="139" ht="22" customHeight="1">
      <x:c r="A139" s="6" t="str">
        <x:f>'Source'!$C$146</x:f>
        <x:v>Goldsboro, NC Metro Area</x:v>
      </x:c>
      <x:c r="B139" s="6" t="str">
        <x:f>'Source'!$B$146</x:f>
        <x:v>24140</x:v>
      </x:c>
      <x:c r="C139" s="7" t="n">
        <x:f>'Source'!$D$146</x:f>
        <x:v>2024</x:v>
      </x:c>
      <x:c r="D139" s="8" t="n">
        <x:f>'Source'!$N$146</x:f>
        <x:v>19854</x:v>
      </x:c>
      <x:c r="E139" s="8" t="n">
        <x:f>'Source'!$AH$146</x:f>
        <x:v>1155</x:v>
      </x:c>
      <x:c r="F139" s="8" t="n">
        <x:f>D139-E139</x:f>
        <x:v>18699</x:v>
      </x:c>
      <x:c r="G139" s="8" t="n">
        <x:f>SUM('Source'!$Z$146,'Source'!$AB$146,'Source'!$AD$146,'Source'!$AF$146)</x:f>
        <x:v>9342</x:v>
      </x:c>
      <x:c r="H139" s="8" t="n">
        <x:f>'Source'!$AF$146</x:f>
        <x:v>5005</x:v>
      </x:c>
      <x:c r="I139" s="9" t="n">
        <x:f>IF(F139=0,"n.a.",G139/F139)</x:f>
        <x:v>0.4995989090325686</x:v>
      </x:c>
      <x:c r="J139" s="9" t="n">
        <x:f>IF(F139=0,"n.a.",H139/F139)</x:f>
        <x:v>0.2676613722658966</x:v>
      </x:c>
      <x:c r="K139" s="9" t="n">
        <x:f>IF(D139=0,"n.a.",E139/D139)</x:f>
        <x:v>0.058174675128437596</x:v>
      </x:c>
    </x:row>
    <x:row r="140" ht="22" customHeight="1">
      <x:c r="A140" s="6" t="str">
        <x:f>'Source'!$C$147</x:f>
        <x:v>Grand Forks, ND-MN Metro Area</x:v>
      </x:c>
      <x:c r="B140" s="6" t="str">
        <x:f>'Source'!$B$147</x:f>
        <x:v>24220</x:v>
      </x:c>
      <x:c r="C140" s="7" t="n">
        <x:f>'Source'!$D$147</x:f>
        <x:v>2024</x:v>
      </x:c>
      <x:c r="D140" s="8" t="n">
        <x:f>'Source'!$N$147</x:f>
        <x:v>20928</x:v>
      </x:c>
      <x:c r="E140" s="8" t="n">
        <x:f>'Source'!$AH$147</x:f>
        <x:v>1161</x:v>
      </x:c>
      <x:c r="F140" s="8" t="n">
        <x:f>D140-E140</x:f>
        <x:v>19767</x:v>
      </x:c>
      <x:c r="G140" s="8" t="n">
        <x:f>SUM('Source'!$Z$147,'Source'!$AB$147,'Source'!$AD$147,'Source'!$AF$147)</x:f>
        <x:v>8250</x:v>
      </x:c>
      <x:c r="H140" s="8" t="n">
        <x:f>'Source'!$AF$147</x:f>
        <x:v>4464</x:v>
      </x:c>
      <x:c r="I140" s="9" t="n">
        <x:f>IF(F140=0,"n.a.",G140/F140)</x:f>
        <x:v>0.41736227045075125</x:v>
      </x:c>
      <x:c r="J140" s="9" t="n">
        <x:f>IF(F140=0,"n.a.",H140/F140)</x:f>
        <x:v>0.22583093033844287</x:v>
      </x:c>
      <x:c r="K140" s="9" t="n">
        <x:f>IF(D140=0,"n.a.",E140/D140)</x:f>
        <x:v>0.05547591743119266</x:v>
      </x:c>
    </x:row>
    <x:row r="141" ht="22" customHeight="1">
      <x:c r="A141" s="6" t="str">
        <x:f>'Source'!$C$148</x:f>
        <x:v>Grand Island, NE Metro Area</x:v>
      </x:c>
      <x:c r="B141" s="6" t="str">
        <x:f>'Source'!$B$148</x:f>
        <x:v>24260</x:v>
      </x:c>
      <x:c r="C141" s="7" t="n">
        <x:f>'Source'!$D$148</x:f>
        <x:v>2024</x:v>
      </x:c>
      <x:c r="D141" s="8" t="n">
        <x:f>'Source'!$N$148</x:f>
        <x:v>11306</x:v>
      </x:c>
      <x:c r="E141" s="8" t="n">
        <x:f>'Source'!$AH$148</x:f>
        <x:v>449</x:v>
      </x:c>
      <x:c r="F141" s="8" t="n">
        <x:f>D141-E141</x:f>
        <x:v>10857</x:v>
      </x:c>
      <x:c r="G141" s="8" t="n">
        <x:f>SUM('Source'!$Z$148,'Source'!$AB$148,'Source'!$AD$148,'Source'!$AF$148)</x:f>
        <x:v>5570</x:v>
      </x:c>
      <x:c r="H141" s="8" t="n">
        <x:f>'Source'!$AF$148</x:f>
        <x:v>2693</x:v>
      </x:c>
      <x:c r="I141" s="9" t="n">
        <x:f>IF(F141=0,"n.a.",G141/F141)</x:f>
        <x:v>0.5130330662245556</x:v>
      </x:c>
      <x:c r="J141" s="9" t="n">
        <x:f>IF(F141=0,"n.a.",H141/F141)</x:f>
        <x:v>0.24804273740443952</x:v>
      </x:c>
      <x:c r="K141" s="9" t="n">
        <x:f>IF(D141=0,"n.a.",E141/D141)</x:f>
        <x:v>0.039713426499203966</x:v>
      </x:c>
    </x:row>
    <x:row r="142" ht="22" customHeight="1">
      <x:c r="A142" s="6" t="str">
        <x:f>'Source'!$C$149</x:f>
        <x:v>Grand Junction, CO Metro Area</x:v>
      </x:c>
      <x:c r="B142" s="6" t="str">
        <x:f>'Source'!$B$149</x:f>
        <x:v>24300</x:v>
      </x:c>
      <x:c r="C142" s="7" t="n">
        <x:f>'Source'!$D$149</x:f>
        <x:v>2024</x:v>
      </x:c>
      <x:c r="D142" s="8" t="n">
        <x:f>'Source'!$N$149</x:f>
        <x:v>17320</x:v>
      </x:c>
      <x:c r="E142" s="8" t="n">
        <x:f>'Source'!$AH$149</x:f>
        <x:v>2338</x:v>
      </x:c>
      <x:c r="F142" s="8" t="n">
        <x:f>D142-E142</x:f>
        <x:v>14982</x:v>
      </x:c>
      <x:c r="G142" s="8" t="n">
        <x:f>SUM('Source'!$Z$149,'Source'!$AB$149,'Source'!$AD$149,'Source'!$AF$149)</x:f>
        <x:v>7755</x:v>
      </x:c>
      <x:c r="H142" s="8" t="n">
        <x:f>'Source'!$AF$149</x:f>
        <x:v>4845</x:v>
      </x:c>
      <x:c r="I142" s="9" t="n">
        <x:f>IF(F142=0,"n.a.",G142/F142)</x:f>
        <x:v>0.5176211453744494</x:v>
      </x:c>
      <x:c r="J142" s="9" t="n">
        <x:f>IF(F142=0,"n.a.",H142/F142)</x:f>
        <x:v>0.32338806567881456</x:v>
      </x:c>
      <x:c r="K142" s="9" t="n">
        <x:f>IF(D142=0,"n.a.",E142/D142)</x:f>
        <x:v>0.13498845265588916</x:v>
      </x:c>
    </x:row>
    <x:row r="143" ht="22" customHeight="1">
      <x:c r="A143" s="6" t="str">
        <x:f>'Source'!$C$150</x:f>
        <x:v>Grand Rapids-Wyoming-Kentwood, MI Metro Area</x:v>
      </x:c>
      <x:c r="B143" s="6" t="str">
        <x:f>'Source'!$B$150</x:f>
        <x:v>24340</x:v>
      </x:c>
      <x:c r="C143" s="7" t="n">
        <x:f>'Source'!$D$150</x:f>
        <x:v>2024</x:v>
      </x:c>
      <x:c r="D143" s="8" t="n">
        <x:f>'Source'!$N$150</x:f>
        <x:v>112730</x:v>
      </x:c>
      <x:c r="E143" s="8" t="n">
        <x:f>'Source'!$AH$150</x:f>
        <x:v>5209</x:v>
      </x:c>
      <x:c r="F143" s="8" t="n">
        <x:f>D143-E143</x:f>
        <x:v>107521</x:v>
      </x:c>
      <x:c r="G143" s="8" t="n">
        <x:f>SUM('Source'!$Z$150,'Source'!$AB$150,'Source'!$AD$150,'Source'!$AF$150)</x:f>
        <x:v>52723</x:v>
      </x:c>
      <x:c r="H143" s="8" t="n">
        <x:f>'Source'!$AF$150</x:f>
        <x:v>23295</x:v>
      </x:c>
      <x:c r="I143" s="9" t="n">
        <x:f>IF(F143=0,"n.a.",G143/F143)</x:f>
        <x:v>0.4903507221845035</x:v>
      </x:c>
      <x:c r="J143" s="9" t="n">
        <x:f>IF(F143=0,"n.a.",H143/F143)</x:f>
        <x:v>0.2166553510477023</x:v>
      </x:c>
      <x:c r="K143" s="9" t="n">
        <x:f>IF(D143=0,"n.a.",E143/D143)</x:f>
        <x:v>0.04620775303823295</x:v>
      </x:c>
    </x:row>
    <x:row r="144" ht="22" customHeight="1">
      <x:c r="A144" s="6" t="str">
        <x:f>'Source'!$C$151</x:f>
        <x:v>Grants Pass, OR Metro Area</x:v>
      </x:c>
      <x:c r="B144" s="6" t="str">
        <x:f>'Source'!$B$151</x:f>
        <x:v>24420</x:v>
      </x:c>
      <x:c r="C144" s="7" t="n">
        <x:f>'Source'!$D$151</x:f>
        <x:v>2024</x:v>
      </x:c>
      <x:c r="D144" s="8" t="n">
        <x:f>'Source'!$N$151</x:f>
        <x:v>11400</x:v>
      </x:c>
      <x:c r="E144" s="8" t="n">
        <x:f>'Source'!$AH$151</x:f>
        <x:v>714</x:v>
      </x:c>
      <x:c r="F144" s="8" t="n">
        <x:f>D144-E144</x:f>
        <x:v>10686</x:v>
      </x:c>
      <x:c r="G144" s="8" t="n">
        <x:f>SUM('Source'!$Z$151,'Source'!$AB$151,'Source'!$AD$151,'Source'!$AF$151)</x:f>
        <x:v>4687</x:v>
      </x:c>
      <x:c r="H144" s="8" t="n">
        <x:f>'Source'!$AF$151</x:f>
        <x:v>2955</x:v>
      </x:c>
      <x:c r="I144" s="9" t="n">
        <x:f>IF(F144=0,"n.a.",G144/F144)</x:f>
        <x:v>0.43861126707842035</x:v>
      </x:c>
      <x:c r="J144" s="9" t="n">
        <x:f>IF(F144=0,"n.a.",H144/F144)</x:f>
        <x:v>0.2765300393037619</x:v>
      </x:c>
      <x:c r="K144" s="9" t="n">
        <x:f>IF(D144=0,"n.a.",E144/D144)</x:f>
        <x:v>0.06263157894736843</x:v>
      </x:c>
    </x:row>
    <x:row r="145" ht="22" customHeight="1">
      <x:c r="A145" s="6" t="str">
        <x:f>'Source'!$C$152</x:f>
        <x:v>Great Falls, MT Metro Area</x:v>
      </x:c>
      <x:c r="B145" s="6" t="str">
        <x:f>'Source'!$B$152</x:f>
        <x:v>24500</x:v>
      </x:c>
      <x:c r="C145" s="7" t="n">
        <x:f>'Source'!$D$152</x:f>
        <x:v>2024</x:v>
      </x:c>
      <x:c r="D145" s="8" t="n">
        <x:f>'Source'!$N$152</x:f>
        <x:v>12698</x:v>
      </x:c>
      <x:c r="E145" s="8" t="n">
        <x:f>'Source'!$AH$152</x:f>
        <x:v>930</x:v>
      </x:c>
      <x:c r="F145" s="8" t="n">
        <x:f>D145-E145</x:f>
        <x:v>11768</x:v>
      </x:c>
      <x:c r="G145" s="8" t="n">
        <x:f>SUM('Source'!$Z$152,'Source'!$AB$152,'Source'!$AD$152,'Source'!$AF$152)</x:f>
        <x:v>4852</x:v>
      </x:c>
      <x:c r="H145" s="8" t="n">
        <x:f>'Source'!$AF$152</x:f>
        <x:v>2046</x:v>
      </x:c>
      <x:c r="I145" s="9" t="n">
        <x:f>IF(F145=0,"n.a.",G145/F145)</x:f>
        <x:v>0.4123045547246771</x:v>
      </x:c>
      <x:c r="J145" s="9" t="n">
        <x:f>IF(F145=0,"n.a.",H145/F145)</x:f>
        <x:v>0.1738613188307274</x:v>
      </x:c>
      <x:c r="K145" s="9" t="n">
        <x:f>IF(D145=0,"n.a.",E145/D145)</x:f>
        <x:v>0.07323988029610963</x:v>
      </x:c>
    </x:row>
    <x:row r="146" ht="22" customHeight="1">
      <x:c r="A146" s="6" t="str">
        <x:f>'Source'!$C$153</x:f>
        <x:v>Greeley, CO Metro Area</x:v>
      </x:c>
      <x:c r="B146" s="6" t="str">
        <x:f>'Source'!$B$153</x:f>
        <x:v>24540</x:v>
      </x:c>
      <x:c r="C146" s="7" t="n">
        <x:f>'Source'!$D$153</x:f>
        <x:v>2024</x:v>
      </x:c>
      <x:c r="D146" s="8" t="n">
        <x:f>'Source'!$N$153</x:f>
        <x:v>31178</x:v>
      </x:c>
      <x:c r="E146" s="8" t="n">
        <x:f>'Source'!$AH$153</x:f>
        <x:v>1440</x:v>
      </x:c>
      <x:c r="F146" s="8" t="n">
        <x:f>D146-E146</x:f>
        <x:v>29738</x:v>
      </x:c>
      <x:c r="G146" s="8" t="n">
        <x:f>SUM('Source'!$Z$153,'Source'!$AB$153,'Source'!$AD$153,'Source'!$AF$153)</x:f>
        <x:v>15573</x:v>
      </x:c>
      <x:c r="H146" s="8" t="n">
        <x:f>'Source'!$AF$153</x:f>
        <x:v>7719</x:v>
      </x:c>
      <x:c r="I146" s="9" t="n">
        <x:f>IF(F146=0,"n.a.",G146/F146)</x:f>
        <x:v>0.5236734144865156</x:v>
      </x:c>
      <x:c r="J146" s="9" t="n">
        <x:f>IF(F146=0,"n.a.",H146/F146)</x:f>
        <x:v>0.2595668841213262</x:v>
      </x:c>
      <x:c r="K146" s="9" t="n">
        <x:f>IF(D146=0,"n.a.",E146/D146)</x:f>
        <x:v>0.04618641349669639</x:v>
      </x:c>
    </x:row>
    <x:row r="147" ht="22" customHeight="1">
      <x:c r="A147" s="6" t="str">
        <x:f>'Source'!$C$154</x:f>
        <x:v>Green Bay, WI Metro Area</x:v>
      </x:c>
      <x:c r="B147" s="6" t="str">
        <x:f>'Source'!$B$154</x:f>
        <x:v>24580</x:v>
      </x:c>
      <x:c r="C147" s="7" t="n">
        <x:f>'Source'!$D$154</x:f>
        <x:v>2024</x:v>
      </x:c>
      <x:c r="D147" s="8" t="n">
        <x:f>'Source'!$N$154</x:f>
        <x:v>37048</x:v>
      </x:c>
      <x:c r="E147" s="8" t="n">
        <x:f>'Source'!$AH$154</x:f>
        <x:v>1990</x:v>
      </x:c>
      <x:c r="F147" s="8" t="n">
        <x:f>D147-E147</x:f>
        <x:v>35058</x:v>
      </x:c>
      <x:c r="G147" s="8" t="n">
        <x:f>SUM('Source'!$Z$154,'Source'!$AB$154,'Source'!$AD$154,'Source'!$AF$154)</x:f>
        <x:v>15397</x:v>
      </x:c>
      <x:c r="H147" s="8" t="n">
        <x:f>'Source'!$AF$154</x:f>
        <x:v>6654</x:v>
      </x:c>
      <x:c r="I147" s="9" t="n">
        <x:f>IF(F147=0,"n.a.",G147/F147)</x:f>
        <x:v>0.4391864909578413</x:v>
      </x:c>
      <x:c r="J147" s="9" t="n">
        <x:f>IF(F147=0,"n.a.",H147/F147)</x:f>
        <x:v>0.18979976039705632</x:v>
      </x:c>
      <x:c r="K147" s="9" t="n">
        <x:f>IF(D147=0,"n.a.",E147/D147)</x:f>
        <x:v>0.05371410062621464</x:v>
      </x:c>
    </x:row>
    <x:row r="148" ht="22" customHeight="1">
      <x:c r="A148" s="6" t="str">
        <x:f>'Source'!$C$155</x:f>
        <x:v>Greensboro-High Point, NC Metro Area</x:v>
      </x:c>
      <x:c r="B148" s="6" t="str">
        <x:f>'Source'!$B$155</x:f>
        <x:v>24660</x:v>
      </x:c>
      <x:c r="C148" s="7" t="n">
        <x:f>'Source'!$D$155</x:f>
        <x:v>2024</x:v>
      </x:c>
      <x:c r="D148" s="8" t="n">
        <x:f>'Source'!$N$155</x:f>
        <x:v>123698</x:v>
      </x:c>
      <x:c r="E148" s="8" t="n">
        <x:f>'Source'!$AH$155</x:f>
        <x:v>7434</x:v>
      </x:c>
      <x:c r="F148" s="8" t="n">
        <x:f>D148-E148</x:f>
        <x:v>116264</x:v>
      </x:c>
      <x:c r="G148" s="8" t="n">
        <x:f>SUM('Source'!$Z$155,'Source'!$AB$155,'Source'!$AD$155,'Source'!$AF$155)</x:f>
        <x:v>62703</x:v>
      </x:c>
      <x:c r="H148" s="8" t="n">
        <x:f>'Source'!$AF$155</x:f>
        <x:v>28821</x:v>
      </x:c>
      <x:c r="I148" s="9" t="n">
        <x:f>IF(F148=0,"n.a.",G148/F148)</x:f>
        <x:v>0.5393156953141127</x:v>
      </x:c>
      <x:c r="J148" s="9" t="n">
        <x:f>IF(F148=0,"n.a.",H148/F148)</x:f>
        <x:v>0.2478927268974059</x:v>
      </x:c>
      <x:c r="K148" s="9" t="n">
        <x:f>IF(D148=0,"n.a.",E148/D148)</x:f>
        <x:v>0.06009798056557099</x:v>
      </x:c>
    </x:row>
    <x:row r="149" ht="22" customHeight="1">
      <x:c r="A149" s="6" t="str">
        <x:f>'Source'!$C$156</x:f>
        <x:v>Greenville, NC Metro Area</x:v>
      </x:c>
      <x:c r="B149" s="6" t="str">
        <x:f>'Source'!$B$156</x:f>
        <x:v>24780</x:v>
      </x:c>
      <x:c r="C149" s="7" t="n">
        <x:f>'Source'!$D$156</x:f>
        <x:v>2024</x:v>
      </x:c>
      <x:c r="D149" s="8" t="n">
        <x:f>'Source'!$N$156</x:f>
        <x:v>35238</x:v>
      </x:c>
      <x:c r="E149" s="8" t="n">
        <x:f>'Source'!$AH$156</x:f>
        <x:v>2920</x:v>
      </x:c>
      <x:c r="F149" s="8" t="n">
        <x:f>D149-E149</x:f>
        <x:v>32318</x:v>
      </x:c>
      <x:c r="G149" s="8" t="n">
        <x:f>SUM('Source'!$Z$156,'Source'!$AB$156,'Source'!$AD$156,'Source'!$AF$156)</x:f>
        <x:v>15996</x:v>
      </x:c>
      <x:c r="H149" s="8" t="n">
        <x:f>'Source'!$AF$156</x:f>
        <x:v>9241</x:v>
      </x:c>
      <x:c r="I149" s="9" t="n">
        <x:f>IF(F149=0,"n.a.",G149/F149)</x:f>
        <x:v>0.49495637106256574</x:v>
      </x:c>
      <x:c r="J149" s="9" t="n">
        <x:f>IF(F149=0,"n.a.",H149/F149)</x:f>
        <x:v>0.28593972399282136</x:v>
      </x:c>
      <x:c r="K149" s="9" t="n">
        <x:f>IF(D149=0,"n.a.",E149/D149)</x:f>
        <x:v>0.08286508882456439</x:v>
      </x:c>
    </x:row>
    <x:row r="150" ht="22" customHeight="1">
      <x:c r="A150" s="6" t="str">
        <x:f>'Source'!$C$157</x:f>
        <x:v>Greenville-Anderson-Greer, SC Metro Area</x:v>
      </x:c>
      <x:c r="B150" s="6" t="str">
        <x:f>'Source'!$B$157</x:f>
        <x:v>24860</x:v>
      </x:c>
      <x:c r="C150" s="7" t="n">
        <x:f>'Source'!$D$157</x:f>
        <x:v>2024</x:v>
      </x:c>
      <x:c r="D150" s="8" t="n">
        <x:f>'Source'!$N$157</x:f>
        <x:v>118322</x:v>
      </x:c>
      <x:c r="E150" s="8" t="n">
        <x:f>'Source'!$AH$157</x:f>
        <x:v>10799</x:v>
      </x:c>
      <x:c r="F150" s="8" t="n">
        <x:f>D150-E150</x:f>
        <x:v>107523</x:v>
      </x:c>
      <x:c r="G150" s="8" t="n">
        <x:f>SUM('Source'!$Z$157,'Source'!$AB$157,'Source'!$AD$157,'Source'!$AF$157)</x:f>
        <x:v>51642</x:v>
      </x:c>
      <x:c r="H150" s="8" t="n">
        <x:f>'Source'!$AF$157</x:f>
        <x:v>26408</x:v>
      </x:c>
      <x:c r="I150" s="9" t="n">
        <x:f>IF(F150=0,"n.a.",G150/F150)</x:f>
        <x:v>0.48028793839457606</x:v>
      </x:c>
      <x:c r="J150" s="9" t="n">
        <x:f>IF(F150=0,"n.a.",H150/F150)</x:f>
        <x:v>0.24560326627791262</x:v>
      </x:c>
      <x:c r="K150" s="9" t="n">
        <x:f>IF(D150=0,"n.a.",E150/D150)</x:f>
        <x:v>0.09126789608018797</x:v>
      </x:c>
    </x:row>
    <x:row r="151" ht="22" customHeight="1">
      <x:c r="A151" s="6" t="str">
        <x:f>'Source'!$C$158</x:f>
        <x:v>Gulfport-Biloxi, MS Metro Area</x:v>
      </x:c>
      <x:c r="B151" s="6" t="str">
        <x:f>'Source'!$B$158</x:f>
        <x:v>25060</x:v>
      </x:c>
      <x:c r="C151" s="7" t="n">
        <x:f>'Source'!$D$158</x:f>
        <x:v>2024</x:v>
      </x:c>
      <x:c r="D151" s="8" t="n">
        <x:f>'Source'!$N$158</x:f>
        <x:v>53027</x:v>
      </x:c>
      <x:c r="E151" s="8" t="n">
        <x:f>'Source'!$AH$158</x:f>
        <x:v>4478</x:v>
      </x:c>
      <x:c r="F151" s="8" t="n">
        <x:f>D151-E151</x:f>
        <x:v>48549</x:v>
      </x:c>
      <x:c r="G151" s="8" t="n">
        <x:f>SUM('Source'!$Z$158,'Source'!$AB$158,'Source'!$AD$158,'Source'!$AF$158)</x:f>
        <x:v>24177</x:v>
      </x:c>
      <x:c r="H151" s="8" t="n">
        <x:f>'Source'!$AF$158</x:f>
        <x:v>13586</x:v>
      </x:c>
      <x:c r="I151" s="9" t="n">
        <x:f>IF(F151=0,"n.a.",G151/F151)</x:f>
        <x:v>0.4979917197058642</x:v>
      </x:c>
      <x:c r="J151" s="9" t="n">
        <x:f>IF(F151=0,"n.a.",H151/F151)</x:f>
        <x:v>0.2798409853961977</x:v>
      </x:c>
      <x:c r="K151" s="9" t="n">
        <x:f>IF(D151=0,"n.a.",E151/D151)</x:f>
        <x:v>0.08444754558998246</x:v>
      </x:c>
    </x:row>
    <x:row r="152" ht="22" customHeight="1">
      <x:c r="A152" s="6" t="str">
        <x:f>'Source'!$C$159</x:f>
        <x:v>Hagerstown-Martinsburg, MD-WV Metro Area</x:v>
      </x:c>
      <x:c r="B152" s="6" t="str">
        <x:f>'Source'!$B$159</x:f>
        <x:v>25180</x:v>
      </x:c>
      <x:c r="C152" s="7" t="n">
        <x:f>'Source'!$D$159</x:f>
        <x:v>2024</x:v>
      </x:c>
      <x:c r="D152" s="8" t="n">
        <x:f>'Source'!$N$159</x:f>
        <x:v>32274</x:v>
      </x:c>
      <x:c r="E152" s="8" t="n">
        <x:f>'Source'!$AH$159</x:f>
        <x:v>3545</x:v>
      </x:c>
      <x:c r="F152" s="8" t="n">
        <x:f>D152-E152</x:f>
        <x:v>28729</x:v>
      </x:c>
      <x:c r="G152" s="8" t="n">
        <x:f>SUM('Source'!$Z$159,'Source'!$AB$159,'Source'!$AD$159,'Source'!$AF$159)</x:f>
        <x:v>12569</x:v>
      </x:c>
      <x:c r="H152" s="8" t="n">
        <x:f>'Source'!$AF$159</x:f>
        <x:v>6486</x:v>
      </x:c>
      <x:c r="I152" s="9" t="n">
        <x:f>IF(F152=0,"n.a.",G152/F152)</x:f>
        <x:v>0.4375021755021059</x:v>
      </x:c>
      <x:c r="J152" s="9" t="n">
        <x:f>IF(F152=0,"n.a.",H152/F152)</x:f>
        <x:v>0.22576490654042952</x:v>
      </x:c>
      <x:c r="K152" s="9" t="n">
        <x:f>IF(D152=0,"n.a.",E152/D152)</x:f>
        <x:v>0.1098407386750945</x:v>
      </x:c>
    </x:row>
    <x:row r="153" ht="22" customHeight="1">
      <x:c r="A153" s="6" t="str">
        <x:f>'Source'!$C$160</x:f>
        <x:v>Hammond, LA Metro Area</x:v>
      </x:c>
      <x:c r="B153" s="6" t="str">
        <x:f>'Source'!$B$160</x:f>
        <x:v>25220</x:v>
      </x:c>
      <x:c r="C153" s="7" t="n">
        <x:f>'Source'!$D$160</x:f>
        <x:v>2024</x:v>
      </x:c>
      <x:c r="D153" s="8" t="n">
        <x:f>'Source'!$N$160</x:f>
        <x:v>17677</x:v>
      </x:c>
      <x:c r="E153" s="8" t="n">
        <x:f>'Source'!$AH$160</x:f>
        <x:v>2907</x:v>
      </x:c>
      <x:c r="F153" s="8" t="n">
        <x:f>D153-E153</x:f>
        <x:v>14770</x:v>
      </x:c>
      <x:c r="G153" s="8" t="n">
        <x:f>SUM('Source'!$Z$160,'Source'!$AB$160,'Source'!$AD$160,'Source'!$AF$160)</x:f>
        <x:v>7894</x:v>
      </x:c>
      <x:c r="H153" s="8" t="n">
        <x:f>'Source'!$AF$160</x:f>
        <x:v>3311</x:v>
      </x:c>
      <x:c r="I153" s="9" t="n">
        <x:f>IF(F153=0,"n.a.",G153/F153)</x:f>
        <x:v>0.5344617467840217</x:v>
      </x:c>
      <x:c r="J153" s="9" t="n">
        <x:f>IF(F153=0,"n.a.",H153/F153)</x:f>
        <x:v>0.2241706161137441</x:v>
      </x:c>
      <x:c r="K153" s="9" t="n">
        <x:f>IF(D153=0,"n.a.",E153/D153)</x:f>
        <x:v>0.16445098150138598</x:v>
      </x:c>
    </x:row>
    <x:row r="154" ht="22" customHeight="1">
      <x:c r="A154" s="6" t="str">
        <x:f>'Source'!$C$161</x:f>
        <x:v>Hanford-Corcoran, CA Metro Area</x:v>
      </x:c>
      <x:c r="B154" s="6" t="str">
        <x:f>'Source'!$B$161</x:f>
        <x:v>25260</x:v>
      </x:c>
      <x:c r="C154" s="7" t="n">
        <x:f>'Source'!$D$161</x:f>
        <x:v>2024</x:v>
      </x:c>
      <x:c r="D154" s="8" t="n">
        <x:f>'Source'!$N$161</x:f>
        <x:v>20022</x:v>
      </x:c>
      <x:c r="E154" s="8" t="n">
        <x:f>'Source'!$AH$161</x:f>
        <x:v>1443</x:v>
      </x:c>
      <x:c r="F154" s="8" t="n">
        <x:f>D154-E154</x:f>
        <x:v>18579</x:v>
      </x:c>
      <x:c r="G154" s="8" t="n">
        <x:f>SUM('Source'!$Z$161,'Source'!$AB$161,'Source'!$AD$161,'Source'!$AF$161)</x:f>
        <x:v>8867</x:v>
      </x:c>
      <x:c r="H154" s="8" t="n">
        <x:f>'Source'!$AF$161</x:f>
        <x:v>4296</x:v>
      </x:c>
      <x:c r="I154" s="9" t="n">
        <x:f>IF(F154=0,"n.a.",G154/F154)</x:f>
        <x:v>0.47725927122019485</x:v>
      </x:c>
      <x:c r="J154" s="9" t="n">
        <x:f>IF(F154=0,"n.a.",H154/F154)</x:f>
        <x:v>0.23122880671726143</x:v>
      </x:c>
      <x:c r="K154" s="9" t="n">
        <x:f>IF(D154=0,"n.a.",E154/D154)</x:f>
        <x:v>0.07207072220557387</x:v>
      </x:c>
    </x:row>
    <x:row r="155" ht="22" customHeight="1">
      <x:c r="A155" s="6" t="str">
        <x:f>'Source'!$C$162</x:f>
        <x:v>Harrisburg-Carlisle, PA Metro Area</x:v>
      </x:c>
      <x:c r="B155" s="6" t="str">
        <x:f>'Source'!$B$162</x:f>
        <x:v>25420</x:v>
      </x:c>
      <x:c r="C155" s="7" t="n">
        <x:f>'Source'!$D$162</x:f>
        <x:v>2024</x:v>
      </x:c>
      <x:c r="D155" s="8" t="n">
        <x:f>'Source'!$N$162</x:f>
        <x:v>81075</x:v>
      </x:c>
      <x:c r="E155" s="8" t="n">
        <x:f>'Source'!$AH$162</x:f>
        <x:v>4563</x:v>
      </x:c>
      <x:c r="F155" s="8" t="n">
        <x:f>D155-E155</x:f>
        <x:v>76512</x:v>
      </x:c>
      <x:c r="G155" s="8" t="n">
        <x:f>SUM('Source'!$Z$162,'Source'!$AB$162,'Source'!$AD$162,'Source'!$AF$162)</x:f>
        <x:v>34504</x:v>
      </x:c>
      <x:c r="H155" s="8" t="n">
        <x:f>'Source'!$AF$162</x:f>
        <x:v>19333</x:v>
      </x:c>
      <x:c r="I155" s="9" t="n">
        <x:f>IF(F155=0,"n.a.",G155/F155)</x:f>
        <x:v>0.45096194061062317</x:v>
      </x:c>
      <x:c r="J155" s="9" t="n">
        <x:f>IF(F155=0,"n.a.",H155/F155)</x:f>
        <x:v>0.2526793182768716</x:v>
      </x:c>
      <x:c r="K155" s="9" t="n">
        <x:f>IF(D155=0,"n.a.",E155/D155)</x:f>
        <x:v>0.056281221091581866</x:v>
      </x:c>
    </x:row>
    <x:row r="156" ht="22" customHeight="1">
      <x:c r="A156" s="6" t="str">
        <x:f>'Source'!$C$163</x:f>
        <x:v>Harrisonburg, VA Metro Area</x:v>
      </x:c>
      <x:c r="B156" s="6" t="str">
        <x:f>'Source'!$B$163</x:f>
        <x:v>25500</x:v>
      </x:c>
      <x:c r="C156" s="7" t="n">
        <x:f>'Source'!$D$163</x:f>
        <x:v>2024</x:v>
      </x:c>
      <x:c r="D156" s="8" t="n">
        <x:f>'Source'!$N$163</x:f>
        <x:v>19127</x:v>
      </x:c>
      <x:c r="E156" s="8" t="n">
        <x:f>'Source'!$AH$163</x:f>
        <x:v>491</x:v>
      </x:c>
      <x:c r="F156" s="8" t="n">
        <x:f>D156-E156</x:f>
        <x:v>18636</x:v>
      </x:c>
      <x:c r="G156" s="8" t="n">
        <x:f>SUM('Source'!$Z$163,'Source'!$AB$163,'Source'!$AD$163,'Source'!$AF$163)</x:f>
        <x:v>9035</x:v>
      </x:c>
      <x:c r="H156" s="8" t="n">
        <x:f>'Source'!$AF$163</x:f>
        <x:v>5724</x:v>
      </x:c>
      <x:c r="I156" s="9" t="n">
        <x:f>IF(F156=0,"n.a.",G156/F156)</x:f>
        <x:v>0.48481433784073835</x:v>
      </x:c>
      <x:c r="J156" s="9" t="n">
        <x:f>IF(F156=0,"n.a.",H156/F156)</x:f>
        <x:v>0.3071474565357373</x:v>
      </x:c>
      <x:c r="K156" s="9" t="n">
        <x:f>IF(D156=0,"n.a.",E156/D156)</x:f>
        <x:v>0.025670518115752602</x:v>
      </x:c>
    </x:row>
    <x:row r="157" ht="22" customHeight="1">
      <x:c r="A157" s="6" t="str">
        <x:f>'Source'!$C$164</x:f>
        <x:v>Hartford-West Hartford-East Hartford, CT Metro Area</x:v>
      </x:c>
      <x:c r="B157" s="6" t="str">
        <x:f>'Source'!$B$164</x:f>
        <x:v>25540</x:v>
      </x:c>
      <x:c r="C157" s="7" t="n">
        <x:f>'Source'!$D$164</x:f>
        <x:v>2024</x:v>
      </x:c>
      <x:c r="D157" s="8" t="n">
        <x:f>'Source'!$N$164</x:f>
        <x:v>154864</x:v>
      </x:c>
      <x:c r="E157" s="8" t="n">
        <x:f>'Source'!$AH$164</x:f>
        <x:v>8660</x:v>
      </x:c>
      <x:c r="F157" s="8" t="n">
        <x:f>D157-E157</x:f>
        <x:v>146204</x:v>
      </x:c>
      <x:c r="G157" s="8" t="n">
        <x:f>SUM('Source'!$Z$164,'Source'!$AB$164,'Source'!$AD$164,'Source'!$AF$164)</x:f>
        <x:v>74763</x:v>
      </x:c>
      <x:c r="H157" s="8" t="n">
        <x:f>'Source'!$AF$164</x:f>
        <x:v>40105</x:v>
      </x:c>
      <x:c r="I157" s="9" t="n">
        <x:f>IF(F157=0,"n.a.",G157/F157)</x:f>
        <x:v>0.5113608382807584</x:v>
      </x:c>
      <x:c r="J157" s="9" t="n">
        <x:f>IF(F157=0,"n.a.",H157/F157)</x:f>
        <x:v>0.274308500451424</x:v>
      </x:c>
      <x:c r="K157" s="9" t="n">
        <x:f>IF(D157=0,"n.a.",E157/D157)</x:f>
        <x:v>0.05592003306126666</x:v>
      </x:c>
    </x:row>
    <x:row r="158" ht="22" customHeight="1">
      <x:c r="A158" s="6" t="str">
        <x:f>'Source'!$C$165</x:f>
        <x:v>Hattiesburg, MS Metro Area</x:v>
      </x:c>
      <x:c r="B158" s="6" t="str">
        <x:f>'Source'!$B$165</x:f>
        <x:v>25620</x:v>
      </x:c>
      <x:c r="C158" s="7" t="n">
        <x:f>'Source'!$D$165</x:f>
        <x:v>2024</x:v>
      </x:c>
      <x:c r="D158" s="8" t="n">
        <x:f>'Source'!$N$165</x:f>
        <x:v>19951</x:v>
      </x:c>
      <x:c r="E158" s="8" t="n">
        <x:f>'Source'!$AH$165</x:f>
        <x:v>4002</x:v>
      </x:c>
      <x:c r="F158" s="8" t="n">
        <x:f>D158-E158</x:f>
        <x:v>15949</x:v>
      </x:c>
      <x:c r="G158" s="8" t="n">
        <x:f>SUM('Source'!$Z$165,'Source'!$AB$165,'Source'!$AD$165,'Source'!$AF$165)</x:f>
        <x:v>6561</x:v>
      </x:c>
      <x:c r="H158" s="8" t="n">
        <x:f>'Source'!$AF$165</x:f>
        <x:v>2377</x:v>
      </x:c>
      <x:c r="I158" s="9" t="n">
        <x:f>IF(F158=0,"n.a.",G158/F158)</x:f>
        <x:v>0.4113737538403662</x:v>
      </x:c>
      <x:c r="J158" s="9" t="n">
        <x:f>IF(F158=0,"n.a.",H158/F158)</x:f>
        <x:v>0.14903755721361842</x:v>
      </x:c>
      <x:c r="K158" s="9" t="n">
        <x:f>IF(D158=0,"n.a.",E158/D158)</x:f>
        <x:v>0.20059144905017293</x:v>
      </x:c>
    </x:row>
    <x:row r="159" ht="22" customHeight="1">
      <x:c r="A159" s="6" t="str">
        <x:f>'Source'!$C$166</x:f>
        <x:v>Helena, MT Metro Area</x:v>
      </x:c>
      <x:c r="B159" s="6" t="str">
        <x:f>'Source'!$B$166</x:f>
        <x:v>25740</x:v>
      </x:c>
      <x:c r="C159" s="7" t="n">
        <x:f>'Source'!$D$166</x:f>
        <x:v>2024</x:v>
      </x:c>
      <x:c r="D159" s="8" t="n">
        <x:f>'Source'!$N$166</x:f>
        <x:v>10097</x:v>
      </x:c>
      <x:c r="E159" s="8" t="n">
        <x:f>'Source'!$AH$166</x:f>
        <x:v>448</x:v>
      </x:c>
      <x:c r="F159" s="8" t="n">
        <x:f>D159-E159</x:f>
        <x:v>9649</x:v>
      </x:c>
      <x:c r="G159" s="8" t="n">
        <x:f>SUM('Source'!$Z$166,'Source'!$AB$166,'Source'!$AD$166,'Source'!$AF$166)</x:f>
        <x:v>3533</x:v>
      </x:c>
      <x:c r="H159" s="8" t="n">
        <x:f>'Source'!$AF$166</x:f>
        <x:v>1147</x:v>
      </x:c>
      <x:c r="I159" s="9" t="n">
        <x:f>IF(F159=0,"n.a.",G159/F159)</x:f>
        <x:v>0.36615193284278164</x:v>
      </x:c>
      <x:c r="J159" s="9" t="n">
        <x:f>IF(F159=0,"n.a.",H159/F159)</x:f>
        <x:v>0.1188724220126438</x:v>
      </x:c>
      <x:c r="K159" s="9" t="n">
        <x:f>IF(D159=0,"n.a.",E159/D159)</x:f>
        <x:v>0.04436961473705061</x:v>
      </x:c>
    </x:row>
    <x:row r="160" ht="22" customHeight="1">
      <x:c r="A160" s="6" t="str">
        <x:f>'Source'!$C$167</x:f>
        <x:v>Hickory-Lenoir-Morganton, NC Metro Area</x:v>
      </x:c>
      <x:c r="B160" s="6" t="str">
        <x:f>'Source'!$B$167</x:f>
        <x:v>25860</x:v>
      </x:c>
      <x:c r="C160" s="7" t="n">
        <x:f>'Source'!$D$167</x:f>
        <x:v>2024</x:v>
      </x:c>
      <x:c r="D160" s="8" t="n">
        <x:f>'Source'!$N$167</x:f>
        <x:v>43413</x:v>
      </x:c>
      <x:c r="E160" s="8" t="n">
        <x:f>'Source'!$AH$167</x:f>
        <x:v>4674</x:v>
      </x:c>
      <x:c r="F160" s="8" t="n">
        <x:f>D160-E160</x:f>
        <x:v>38739</x:v>
      </x:c>
      <x:c r="G160" s="8" t="n">
        <x:f>SUM('Source'!$Z$167,'Source'!$AB$167,'Source'!$AD$167,'Source'!$AF$167)</x:f>
        <x:v>16778</x:v>
      </x:c>
      <x:c r="H160" s="8" t="n">
        <x:f>'Source'!$AF$167</x:f>
        <x:v>9177</x:v>
      </x:c>
      <x:c r="I160" s="9" t="n">
        <x:f>IF(F160=0,"n.a.",G160/F160)</x:f>
        <x:v>0.4331035906967139</x:v>
      </x:c>
      <x:c r="J160" s="9" t="n">
        <x:f>IF(F160=0,"n.a.",H160/F160)</x:f>
        <x:v>0.23689305351196469</x:v>
      </x:c>
      <x:c r="K160" s="9" t="n">
        <x:f>IF(D160=0,"n.a.",E160/D160)</x:f>
        <x:v>0.10766360306820538</x:v>
      </x:c>
    </x:row>
    <x:row r="161" ht="22" customHeight="1">
      <x:c r="A161" s="6" t="str">
        <x:f>'Source'!$C$168</x:f>
        <x:v>Hilton Head Island-Bluffton-Port Royal, SC Metro Area</x:v>
      </x:c>
      <x:c r="B161" s="6" t="str">
        <x:f>'Source'!$B$168</x:f>
        <x:v>25940</x:v>
      </x:c>
      <x:c r="C161" s="7" t="n">
        <x:f>'Source'!$D$168</x:f>
        <x:v>2024</x:v>
      </x:c>
      <x:c r="D161" s="8" t="n">
        <x:f>'Source'!$N$168</x:f>
        <x:v>26874</x:v>
      </x:c>
      <x:c r="E161" s="8" t="n">
        <x:f>'Source'!$AH$168</x:f>
        <x:v>2867</x:v>
      </x:c>
      <x:c r="F161" s="8" t="n">
        <x:f>D161-E161</x:f>
        <x:v>24007</x:v>
      </x:c>
      <x:c r="G161" s="8" t="n">
        <x:f>SUM('Source'!$Z$168,'Source'!$AB$168,'Source'!$AD$168,'Source'!$AF$168)</x:f>
        <x:v>13515</x:v>
      </x:c>
      <x:c r="H161" s="8" t="n">
        <x:f>'Source'!$AF$168</x:f>
        <x:v>7409</x:v>
      </x:c>
      <x:c r="I161" s="9" t="n">
        <x:f>IF(F161=0,"n.a.",G161/F161)</x:f>
        <x:v>0.5629608030990961</x:v>
      </x:c>
      <x:c r="J161" s="9" t="n">
        <x:f>IF(F161=0,"n.a.",H161/F161)</x:f>
        <x:v>0.3086183196567668</x:v>
      </x:c>
      <x:c r="K161" s="9" t="n">
        <x:f>IF(D161=0,"n.a.",E161/D161)</x:f>
        <x:v>0.10668303936890675</x:v>
      </x:c>
    </x:row>
    <x:row r="162" ht="22" customHeight="1">
      <x:c r="A162" s="6" t="str">
        <x:f>'Source'!$C$169</x:f>
        <x:v>Hinesville, GA Metro Area</x:v>
      </x:c>
      <x:c r="B162" s="6" t="str">
        <x:f>'Source'!$B$169</x:f>
        <x:v>25980</x:v>
      </x:c>
      <x:c r="C162" s="7" t="n">
        <x:f>'Source'!$D$169</x:f>
        <x:v>2024</x:v>
      </x:c>
      <x:c r="D162" s="8" t="n">
        <x:f>'Source'!$N$169</x:f>
        <x:v>12947</x:v>
      </x:c>
      <x:c r="E162" s="8" t="n">
        <x:f>'Source'!$AH$169</x:f>
        <x:v>1209</x:v>
      </x:c>
      <x:c r="F162" s="8" t="n">
        <x:f>D162-E162</x:f>
        <x:v>11738</x:v>
      </x:c>
      <x:c r="G162" s="8" t="n">
        <x:f>SUM('Source'!$Z$169,'Source'!$AB$169,'Source'!$AD$169,'Source'!$AF$169)</x:f>
        <x:v>5022</x:v>
      </x:c>
      <x:c r="H162" s="8" t="n">
        <x:f>'Source'!$AF$169</x:f>
        <x:v>3073</x:v>
      </x:c>
      <x:c r="I162" s="9" t="n">
        <x:f>IF(F162=0,"n.a.",G162/F162)</x:f>
        <x:v>0.42784119952291705</x:v>
      </x:c>
      <x:c r="J162" s="9" t="n">
        <x:f>IF(F162=0,"n.a.",H162/F162)</x:f>
        <x:v>0.26179928437553246</x:v>
      </x:c>
      <x:c r="K162" s="9" t="n">
        <x:f>IF(D162=0,"n.a.",E162/D162)</x:f>
        <x:v>0.09338070595504751</x:v>
      </x:c>
    </x:row>
    <x:row r="163" ht="22" customHeight="1">
      <x:c r="A163" s="6" t="str">
        <x:f>'Source'!$C$170</x:f>
        <x:v>Homosassa Springs, FL Metro Area</x:v>
      </x:c>
      <x:c r="B163" s="6" t="str">
        <x:f>'Source'!$B$170</x:f>
        <x:v>26140</x:v>
      </x:c>
      <x:c r="C163" s="7" t="n">
        <x:f>'Source'!$D$170</x:f>
        <x:v>2024</x:v>
      </x:c>
      <x:c r="D163" s="8" t="n">
        <x:f>'Source'!$N$170</x:f>
        <x:v>9832</x:v>
      </x:c>
      <x:c r="E163" s="8" t="n">
        <x:f>'Source'!$AH$170</x:f>
        <x:v>2075</x:v>
      </x:c>
      <x:c r="F163" s="8" t="n">
        <x:f>D163-E163</x:f>
        <x:v>7757</x:v>
      </x:c>
      <x:c r="G163" s="8" t="n">
        <x:f>SUM('Source'!$Z$170,'Source'!$AB$170,'Source'!$AD$170,'Source'!$AF$170)</x:f>
        <x:v>4588</x:v>
      </x:c>
      <x:c r="H163" s="8" t="n">
        <x:f>'Source'!$AF$170</x:f>
        <x:v>2154</x:v>
      </x:c>
      <x:c r="I163" s="9" t="n">
        <x:f>IF(F163=0,"n.a.",G163/F163)</x:f>
        <x:v>0.5914657728503288</x:v>
      </x:c>
      <x:c r="J163" s="9" t="n">
        <x:f>IF(F163=0,"n.a.",H163/F163)</x:f>
        <x:v>0.2776846719092433</x:v>
      </x:c>
      <x:c r="K163" s="9" t="n">
        <x:f>IF(D163=0,"n.a.",E163/D163)</x:f>
        <x:v>0.21104556550040685</x:v>
      </x:c>
    </x:row>
    <x:row r="164" ht="22" customHeight="1">
      <x:c r="A164" s="6" t="str">
        <x:f>'Source'!$C$171</x:f>
        <x:v>Hot Springs, AR Metro Area</x:v>
      </x:c>
      <x:c r="B164" s="6" t="str">
        <x:f>'Source'!$B$171</x:f>
        <x:v>26300</x:v>
      </x:c>
      <x:c r="C164" s="7" t="n">
        <x:f>'Source'!$D$171</x:f>
        <x:v>2024</x:v>
      </x:c>
      <x:c r="D164" s="8" t="n">
        <x:f>'Source'!$N$171</x:f>
        <x:v>12887</x:v>
      </x:c>
      <x:c r="E164" s="8" t="n">
        <x:f>'Source'!$AH$171</x:f>
        <x:v>1739</x:v>
      </x:c>
      <x:c r="F164" s="8" t="n">
        <x:f>D164-E164</x:f>
        <x:v>11148</x:v>
      </x:c>
      <x:c r="G164" s="8" t="n">
        <x:f>SUM('Source'!$Z$171,'Source'!$AB$171,'Source'!$AD$171,'Source'!$AF$171)</x:f>
        <x:v>4648</x:v>
      </x:c>
      <x:c r="H164" s="8" t="n">
        <x:f>'Source'!$AF$171</x:f>
        <x:v>2521</x:v>
      </x:c>
      <x:c r="I164" s="9" t="n">
        <x:f>IF(F164=0,"n.a.",G164/F164)</x:f>
        <x:v>0.4169357732328669</x:v>
      </x:c>
      <x:c r="J164" s="9" t="n">
        <x:f>IF(F164=0,"n.a.",H164/F164)</x:f>
        <x:v>0.22613921779691423</x:v>
      </x:c>
      <x:c r="K164" s="9" t="n">
        <x:f>IF(D164=0,"n.a.",E164/D164)</x:f>
        <x:v>0.13494218980367811</x:v>
      </x:c>
    </x:row>
    <x:row r="165" ht="22" customHeight="1">
      <x:c r="A165" s="6" t="str">
        <x:f>'Source'!$C$172</x:f>
        <x:v>Houma-Bayou Cane-Thibodaux, LA Metro Area</x:v>
      </x:c>
      <x:c r="B165" s="6" t="str">
        <x:f>'Source'!$B$172</x:f>
        <x:v>26380</x:v>
      </x:c>
      <x:c r="C165" s="7" t="n">
        <x:f>'Source'!$D$172</x:f>
        <x:v>2024</x:v>
      </x:c>
      <x:c r="D165" s="8" t="n">
        <x:f>'Source'!$N$172</x:f>
        <x:v>16050</x:v>
      </x:c>
      <x:c r="E165" s="8" t="n">
        <x:f>'Source'!$AH$172</x:f>
        <x:v>2890</x:v>
      </x:c>
      <x:c r="F165" s="8" t="n">
        <x:f>D165-E165</x:f>
        <x:v>13160</x:v>
      </x:c>
      <x:c r="G165" s="8" t="n">
        <x:f>SUM('Source'!$Z$172,'Source'!$AB$172,'Source'!$AD$172,'Source'!$AF$172)</x:f>
        <x:v>6799</x:v>
      </x:c>
      <x:c r="H165" s="8" t="n">
        <x:f>'Source'!$AF$172</x:f>
        <x:v>3757</x:v>
      </x:c>
      <x:c r="I165" s="9" t="n">
        <x:f>IF(F165=0,"n.a.",G165/F165)</x:f>
        <x:v>0.5166413373860183</x:v>
      </x:c>
      <x:c r="J165" s="9" t="n">
        <x:f>IF(F165=0,"n.a.",H165/F165)</x:f>
        <x:v>0.2854863221884498</x:v>
      </x:c>
      <x:c r="K165" s="9" t="n">
        <x:f>IF(D165=0,"n.a.",E165/D165)</x:f>
        <x:v>0.18006230529595016</x:v>
      </x:c>
    </x:row>
    <x:row r="166" ht="22" customHeight="1">
      <x:c r="A166" s="6" t="str">
        <x:f>'Source'!$C$173</x:f>
        <x:v>Houston-Pasadena-The Woodlands, TX Metro Area</x:v>
      </x:c>
      <x:c r="B166" s="6" t="str">
        <x:f>'Source'!$B$173</x:f>
        <x:v>26420</x:v>
      </x:c>
      <x:c r="C166" s="7" t="n">
        <x:f>'Source'!$D$173</x:f>
        <x:v>2024</x:v>
      </x:c>
      <x:c r="D166" s="8" t="n">
        <x:f>'Source'!$N$173</x:f>
        <x:v>1086526</x:v>
      </x:c>
      <x:c r="E166" s="8" t="n">
        <x:f>'Source'!$AH$173</x:f>
        <x:v>63683</x:v>
      </x:c>
      <x:c r="F166" s="8" t="n">
        <x:f>D166-E166</x:f>
        <x:v>1022843</x:v>
      </x:c>
      <x:c r="G166" s="8" t="n">
        <x:f>SUM('Source'!$Z$173,'Source'!$AB$173,'Source'!$AD$173,'Source'!$AF$173)</x:f>
        <x:v>564477</x:v>
      </x:c>
      <x:c r="H166" s="8" t="n">
        <x:f>'Source'!$AF$173</x:f>
        <x:v>283474</x:v>
      </x:c>
      <x:c r="I166" s="9" t="n">
        <x:f>IF(F166=0,"n.a.",G166/F166)</x:f>
        <x:v>0.5518706194401292</x:v>
      </x:c>
      <x:c r="J166" s="9" t="n">
        <x:f>IF(F166=0,"n.a.",H166/F166)</x:f>
        <x:v>0.27714321748303505</x:v>
      </x:c>
      <x:c r="K166" s="9" t="n">
        <x:f>IF(D166=0,"n.a.",E166/D166)</x:f>
        <x:v>0.05861157487257553</x:v>
      </x:c>
    </x:row>
    <x:row r="167" ht="22" customHeight="1">
      <x:c r="A167" s="6" t="str">
        <x:f>'Source'!$C$174</x:f>
        <x:v>Huntington-Ashland, WV-KY-OH Metro Area</x:v>
      </x:c>
      <x:c r="B167" s="6" t="str">
        <x:f>'Source'!$B$174</x:f>
        <x:v>26580</x:v>
      </x:c>
      <x:c r="C167" s="7" t="n">
        <x:f>'Source'!$D$174</x:f>
        <x:v>2024</x:v>
      </x:c>
      <x:c r="D167" s="8" t="n">
        <x:f>'Source'!$N$174</x:f>
        <x:v>39713</x:v>
      </x:c>
      <x:c r="E167" s="8" t="n">
        <x:f>'Source'!$AH$174</x:f>
        <x:v>6598</x:v>
      </x:c>
      <x:c r="F167" s="8" t="n">
        <x:f>D167-E167</x:f>
        <x:v>33115</x:v>
      </x:c>
      <x:c r="G167" s="8" t="n">
        <x:f>SUM('Source'!$Z$174,'Source'!$AB$174,'Source'!$AD$174,'Source'!$AF$174)</x:f>
        <x:v>16129</x:v>
      </x:c>
      <x:c r="H167" s="8" t="n">
        <x:f>'Source'!$AF$174</x:f>
        <x:v>8550</x:v>
      </x:c>
      <x:c r="I167" s="9" t="n">
        <x:f>IF(F167=0,"n.a.",G167/F167)</x:f>
        <x:v>0.48706024460214403</x:v>
      </x:c>
      <x:c r="J167" s="9" t="n">
        <x:f>IF(F167=0,"n.a.",H167/F167)</x:f>
        <x:v>0.25819115204590065</x:v>
      </x:c>
      <x:c r="K167" s="9" t="n">
        <x:f>IF(D167=0,"n.a.",E167/D167)</x:f>
        <x:v>0.1661420693475688</x:v>
      </x:c>
    </x:row>
    <x:row r="168" ht="22" customHeight="1">
      <x:c r="A168" s="6" t="str">
        <x:f>'Source'!$C$175</x:f>
        <x:v>Huntsville, AL Metro Area</x:v>
      </x:c>
      <x:c r="B168" s="6" t="str">
        <x:f>'Source'!$B$175</x:f>
        <x:v>26620</x:v>
      </x:c>
      <x:c r="C168" s="7" t="n">
        <x:f>'Source'!$D$175</x:f>
        <x:v>2024</x:v>
      </x:c>
      <x:c r="D168" s="8" t="n">
        <x:f>'Source'!$N$175</x:f>
        <x:v>67156</x:v>
      </x:c>
      <x:c r="E168" s="8" t="n">
        <x:f>'Source'!$AH$175</x:f>
        <x:v>5478</x:v>
      </x:c>
      <x:c r="F168" s="8" t="n">
        <x:f>D168-E168</x:f>
        <x:v>61678</x:v>
      </x:c>
      <x:c r="G168" s="8" t="n">
        <x:f>SUM('Source'!$Z$175,'Source'!$AB$175,'Source'!$AD$175,'Source'!$AF$175)</x:f>
        <x:v>24757</x:v>
      </x:c>
      <x:c r="H168" s="8" t="n">
        <x:f>'Source'!$AF$175</x:f>
        <x:v>12918</x:v>
      </x:c>
      <x:c r="I168" s="9" t="n">
        <x:f>IF(F168=0,"n.a.",G168/F168)</x:f>
        <x:v>0.4013910956905217</x:v>
      </x:c>
      <x:c r="J168" s="9" t="n">
        <x:f>IF(F168=0,"n.a.",H168/F168)</x:f>
        <x:v>0.20944258892960213</x:v>
      </x:c>
      <x:c r="K168" s="9" t="n">
        <x:f>IF(D168=0,"n.a.",E168/D168)</x:f>
        <x:v>0.08157126690094704</x:v>
      </x:c>
    </x:row>
    <x:row r="169" ht="22" customHeight="1">
      <x:c r="A169" s="6" t="str">
        <x:f>'Source'!$C$176</x:f>
        <x:v>Idaho Falls, ID Metro Area</x:v>
      </x:c>
      <x:c r="B169" s="6" t="str">
        <x:f>'Source'!$B$176</x:f>
        <x:v>26820</x:v>
      </x:c>
      <x:c r="C169" s="7" t="n">
        <x:f>'Source'!$D$176</x:f>
        <x:v>2024</x:v>
      </x:c>
      <x:c r="D169" s="8" t="n">
        <x:f>'Source'!$N$176</x:f>
        <x:v>13653</x:v>
      </x:c>
      <x:c r="E169" s="8" t="n">
        <x:f>'Source'!$AH$176</x:f>
        <x:v>1148</x:v>
      </x:c>
      <x:c r="F169" s="8" t="n">
        <x:f>D169-E169</x:f>
        <x:v>12505</x:v>
      </x:c>
      <x:c r="G169" s="8" t="n">
        <x:f>SUM('Source'!$Z$176,'Source'!$AB$176,'Source'!$AD$176,'Source'!$AF$176)</x:f>
        <x:v>5167</x:v>
      </x:c>
      <x:c r="H169" s="8" t="n">
        <x:f>'Source'!$AF$176</x:f>
        <x:v>1844</x:v>
      </x:c>
      <x:c r="I169" s="9" t="n">
        <x:f>IF(F169=0,"n.a.",G169/F169)</x:f>
        <x:v>0.41319472211115554</x:v>
      </x:c>
      <x:c r="J169" s="9" t="n">
        <x:f>IF(F169=0,"n.a.",H169/F169)</x:f>
        <x:v>0.14746101559376248</x:v>
      </x:c>
      <x:c r="K169" s="9" t="n">
        <x:f>IF(D169=0,"n.a.",E169/D169)</x:f>
        <x:v>0.08408408408408409</x:v>
      </x:c>
    </x:row>
    <x:row r="170" ht="22" customHeight="1">
      <x:c r="A170" s="6" t="str">
        <x:f>'Source'!$C$177</x:f>
        <x:v>Indianapolis-Carmel-Greenwood, IN Metro Area</x:v>
      </x:c>
      <x:c r="B170" s="6" t="str">
        <x:f>'Source'!$B$177</x:f>
        <x:v>26900</x:v>
      </x:c>
      <x:c r="C170" s="7" t="n">
        <x:f>'Source'!$D$177</x:f>
        <x:v>2024</x:v>
      </x:c>
      <x:c r="D170" s="8" t="n">
        <x:f>'Source'!$N$177</x:f>
        <x:v>289397</x:v>
      </x:c>
      <x:c r="E170" s="8" t="n">
        <x:f>'Source'!$AH$177</x:f>
        <x:v>12707</x:v>
      </x:c>
      <x:c r="F170" s="8" t="n">
        <x:f>D170-E170</x:f>
        <x:v>276690</x:v>
      </x:c>
      <x:c r="G170" s="8" t="n">
        <x:f>SUM('Source'!$Z$177,'Source'!$AB$177,'Source'!$AD$177,'Source'!$AF$177)</x:f>
        <x:v>133126</x:v>
      </x:c>
      <x:c r="H170" s="8" t="n">
        <x:f>'Source'!$AF$177</x:f>
        <x:v>67444</x:v>
      </x:c>
      <x:c r="I170" s="9" t="n">
        <x:f>IF(F170=0,"n.a.",G170/F170)</x:f>
        <x:v>0.4811377353717156</x:v>
      </x:c>
      <x:c r="J170" s="9" t="n">
        <x:f>IF(F170=0,"n.a.",H170/F170)</x:f>
        <x:v>0.24375293649933139</x:v>
      </x:c>
      <x:c r="K170" s="9" t="n">
        <x:f>IF(D170=0,"n.a.",E170/D170)</x:f>
        <x:v>0.04390854086255214</x:v>
      </x:c>
    </x:row>
    <x:row r="171" ht="22" customHeight="1">
      <x:c r="A171" s="6" t="str">
        <x:f>'Source'!$C$178</x:f>
        <x:v>Iowa City, IA Metro Area</x:v>
      </x:c>
      <x:c r="B171" s="6" t="str">
        <x:f>'Source'!$B$178</x:f>
        <x:v>26980</x:v>
      </x:c>
      <x:c r="C171" s="7" t="n">
        <x:f>'Source'!$D$178</x:f>
        <x:v>2024</x:v>
      </x:c>
      <x:c r="D171" s="8" t="n">
        <x:f>'Source'!$N$178</x:f>
        <x:v>28225</x:v>
      </x:c>
      <x:c r="E171" s="8" t="n">
        <x:f>'Source'!$AH$178</x:f>
        <x:v>1400</x:v>
      </x:c>
      <x:c r="F171" s="8" t="n">
        <x:f>D171-E171</x:f>
        <x:v>26825</x:v>
      </x:c>
      <x:c r="G171" s="8" t="n">
        <x:f>SUM('Source'!$Z$178,'Source'!$AB$178,'Source'!$AD$178,'Source'!$AF$178)</x:f>
        <x:v>14886</x:v>
      </x:c>
      <x:c r="H171" s="8" t="n">
        <x:f>'Source'!$AF$178</x:f>
        <x:v>9381</x:v>
      </x:c>
      <x:c r="I171" s="9" t="n">
        <x:f>IF(F171=0,"n.a.",G171/F171)</x:f>
        <x:v>0.5549301025163094</x:v>
      </x:c>
      <x:c r="J171" s="9" t="n">
        <x:f>IF(F171=0,"n.a.",H171/F171)</x:f>
        <x:v>0.34971109040074555</x:v>
      </x:c>
      <x:c r="K171" s="9" t="n">
        <x:f>IF(D171=0,"n.a.",E171/D171)</x:f>
        <x:v>0.049601417183348095</x:v>
      </x:c>
    </x:row>
    <x:row r="172" ht="22" customHeight="1">
      <x:c r="A172" s="6" t="str">
        <x:f>'Source'!$C$179</x:f>
        <x:v>Ithaca, NY Metro Area</x:v>
      </x:c>
      <x:c r="B172" s="6" t="str">
        <x:f>'Source'!$B$179</x:f>
        <x:v>27060</x:v>
      </x:c>
      <x:c r="C172" s="7" t="n">
        <x:f>'Source'!$D$179</x:f>
        <x:v>2024</x:v>
      </x:c>
      <x:c r="D172" s="8" t="n">
        <x:f>'Source'!$N$179</x:f>
        <x:v>18846</x:v>
      </x:c>
      <x:c r="E172" s="8" t="n">
        <x:f>'Source'!$AH$179</x:f>
        <x:v>1094</x:v>
      </x:c>
      <x:c r="F172" s="8" t="n">
        <x:f>D172-E172</x:f>
        <x:v>17752</x:v>
      </x:c>
      <x:c r="G172" s="8" t="n">
        <x:f>SUM('Source'!$Z$179,'Source'!$AB$179,'Source'!$AD$179,'Source'!$AF$179)</x:f>
        <x:v>9951</x:v>
      </x:c>
      <x:c r="H172" s="8" t="n">
        <x:f>'Source'!$AF$179</x:f>
        <x:v>6126</x:v>
      </x:c>
      <x:c r="I172" s="9" t="n">
        <x:f>IF(F172=0,"n.a.",G172/F172)</x:f>
        <x:v>0.5605565570076612</x:v>
      </x:c>
      <x:c r="J172" s="9" t="n">
        <x:f>IF(F172=0,"n.a.",H172/F172)</x:f>
        <x:v>0.34508787742226227</x:v>
      </x:c>
      <x:c r="K172" s="9" t="n">
        <x:f>IF(D172=0,"n.a.",E172/D172)</x:f>
        <x:v>0.058049453464926244</x:v>
      </x:c>
    </x:row>
    <x:row r="173" ht="22" customHeight="1">
      <x:c r="A173" s="6" t="str">
        <x:f>'Source'!$C$180</x:f>
        <x:v>Jackson, MI Metro Area</x:v>
      </x:c>
      <x:c r="B173" s="6" t="str">
        <x:f>'Source'!$B$180</x:f>
        <x:v>27100</x:v>
      </x:c>
      <x:c r="C173" s="7" t="n">
        <x:f>'Source'!$D$180</x:f>
        <x:v>2024</x:v>
      </x:c>
      <x:c r="D173" s="8" t="n">
        <x:f>'Source'!$N$180</x:f>
        <x:v>15435</x:v>
      </x:c>
      <x:c r="E173" s="8" t="n">
        <x:f>'Source'!$AH$180</x:f>
        <x:v>1071</x:v>
      </x:c>
      <x:c r="F173" s="8" t="n">
        <x:f>D173-E173</x:f>
        <x:v>14364</x:v>
      </x:c>
      <x:c r="G173" s="8" t="n">
        <x:f>SUM('Source'!$Z$180,'Source'!$AB$180,'Source'!$AD$180,'Source'!$AF$180)</x:f>
        <x:v>6498</x:v>
      </x:c>
      <x:c r="H173" s="8" t="n">
        <x:f>'Source'!$AF$180</x:f>
        <x:v>3018</x:v>
      </x:c>
      <x:c r="I173" s="9" t="n">
        <x:f>IF(F173=0,"n.a.",G173/F173)</x:f>
        <x:v>0.4523809523809524</x:v>
      </x:c>
      <x:c r="J173" s="9" t="n">
        <x:f>IF(F173=0,"n.a.",H173/F173)</x:f>
        <x:v>0.21010860484544694</x:v>
      </x:c>
      <x:c r="K173" s="9" t="n">
        <x:f>IF(D173=0,"n.a.",E173/D173)</x:f>
        <x:v>0.06938775510204082</x:v>
      </x:c>
    </x:row>
    <x:row r="174" ht="22" customHeight="1">
      <x:c r="A174" s="6" t="str">
        <x:f>'Source'!$C$181</x:f>
        <x:v>Jackson, MS Metro Area</x:v>
      </x:c>
      <x:c r="B174" s="6" t="str">
        <x:f>'Source'!$B$181</x:f>
        <x:v>27140</x:v>
      </x:c>
      <x:c r="C174" s="7" t="n">
        <x:f>'Source'!$D$181</x:f>
        <x:v>2024</x:v>
      </x:c>
      <x:c r="D174" s="8" t="n">
        <x:f>'Source'!$N$181</x:f>
        <x:v>74650</x:v>
      </x:c>
      <x:c r="E174" s="8" t="n">
        <x:f>'Source'!$AH$181</x:f>
        <x:v>7082</x:v>
      </x:c>
      <x:c r="F174" s="8" t="n">
        <x:f>D174-E174</x:f>
        <x:v>67568</x:v>
      </x:c>
      <x:c r="G174" s="8" t="n">
        <x:f>SUM('Source'!$Z$181,'Source'!$AB$181,'Source'!$AD$181,'Source'!$AF$181)</x:f>
        <x:v>34052</x:v>
      </x:c>
      <x:c r="H174" s="8" t="n">
        <x:f>'Source'!$AF$181</x:f>
        <x:v>16873</x:v>
      </x:c>
      <x:c r="I174" s="9" t="n">
        <x:f>IF(F174=0,"n.a.",G174/F174)</x:f>
        <x:v>0.5039663746152024</x:v>
      </x:c>
      <x:c r="J174" s="9" t="n">
        <x:f>IF(F174=0,"n.a.",H174/F174)</x:f>
        <x:v>0.2497188017996685</x:v>
      </x:c>
      <x:c r="K174" s="9" t="n">
        <x:f>IF(D174=0,"n.a.",E174/D174)</x:f>
        <x:v>0.09486939048894842</x:v>
      </x:c>
    </x:row>
    <x:row r="175" ht="22" customHeight="1">
      <x:c r="A175" s="6" t="str">
        <x:f>'Source'!$C$182</x:f>
        <x:v>Jackson, TN Metro Area</x:v>
      </x:c>
      <x:c r="B175" s="6" t="str">
        <x:f>'Source'!$B$182</x:f>
        <x:v>27180</x:v>
      </x:c>
      <x:c r="C175" s="7" t="n">
        <x:f>'Source'!$D$182</x:f>
        <x:v>2024</x:v>
      </x:c>
      <x:c r="D175" s="8" t="n">
        <x:f>'Source'!$N$182</x:f>
        <x:v>23228</x:v>
      </x:c>
      <x:c r="E175" s="8" t="n">
        <x:f>'Source'!$AH$182</x:f>
        <x:v>2860</x:v>
      </x:c>
      <x:c r="F175" s="8" t="n">
        <x:f>D175-E175</x:f>
        <x:v>20368</x:v>
      </x:c>
      <x:c r="G175" s="8" t="n">
        <x:f>SUM('Source'!$Z$182,'Source'!$AB$182,'Source'!$AD$182,'Source'!$AF$182)</x:f>
        <x:v>9967</x:v>
      </x:c>
      <x:c r="H175" s="8" t="n">
        <x:f>'Source'!$AF$182</x:f>
        <x:v>4812</x:v>
      </x:c>
      <x:c r="I175" s="9" t="n">
        <x:f>IF(F175=0,"n.a.",G175/F175)</x:f>
        <x:v>0.4893460329929301</x:v>
      </x:c>
      <x:c r="J175" s="9" t="n">
        <x:f>IF(F175=0,"n.a.",H175/F175)</x:f>
        <x:v>0.23625294579732914</x:v>
      </x:c>
      <x:c r="K175" s="9" t="n">
        <x:f>IF(D175=0,"n.a.",E175/D175)</x:f>
        <x:v>0.12312726020320303</x:v>
      </x:c>
    </x:row>
    <x:row r="176" ht="22" customHeight="1">
      <x:c r="A176" s="6" t="str">
        <x:f>'Source'!$C$183</x:f>
        <x:v>Jacksonville, FL Metro Area</x:v>
      </x:c>
      <x:c r="B176" s="6" t="str">
        <x:f>'Source'!$B$183</x:f>
        <x:v>27260</x:v>
      </x:c>
      <x:c r="C176" s="7" t="n">
        <x:f>'Source'!$D$183</x:f>
        <x:v>2024</x:v>
      </x:c>
      <x:c r="D176" s="8" t="n">
        <x:f>'Source'!$N$183</x:f>
        <x:v>230447</x:v>
      </x:c>
      <x:c r="E176" s="8" t="n">
        <x:f>'Source'!$AH$183</x:f>
        <x:v>10782</x:v>
      </x:c>
      <x:c r="F176" s="8" t="n">
        <x:f>D176-E176</x:f>
        <x:v>219665</x:v>
      </x:c>
      <x:c r="G176" s="8" t="n">
        <x:f>SUM('Source'!$Z$183,'Source'!$AB$183,'Source'!$AD$183,'Source'!$AF$183)</x:f>
        <x:v>127131</x:v>
      </x:c>
      <x:c r="H176" s="8" t="n">
        <x:f>'Source'!$AF$183</x:f>
        <x:v>60145</x:v>
      </x:c>
      <x:c r="I176" s="9" t="n">
        <x:f>IF(F176=0,"n.a.",G176/F176)</x:f>
        <x:v>0.5787494594040926</x:v>
      </x:c>
      <x:c r="J176" s="9" t="n">
        <x:f>IF(F176=0,"n.a.",H176/F176)</x:f>
        <x:v>0.27380329137550363</x:v>
      </x:c>
      <x:c r="K176" s="9" t="n">
        <x:f>IF(D176=0,"n.a.",E176/D176)</x:f>
        <x:v>0.046787330709447295</x:v>
      </x:c>
    </x:row>
    <x:row r="177" ht="22" customHeight="1">
      <x:c r="A177" s="6" t="str">
        <x:f>'Source'!$C$184</x:f>
        <x:v>Jacksonville, NC Metro Area</x:v>
      </x:c>
      <x:c r="B177" s="6" t="str">
        <x:f>'Source'!$B$184</x:f>
        <x:v>27340</x:v>
      </x:c>
      <x:c r="C177" s="7" t="n">
        <x:f>'Source'!$D$184</x:f>
        <x:v>2024</x:v>
      </x:c>
      <x:c r="D177" s="8" t="n">
        <x:f>'Source'!$N$184</x:f>
        <x:v>28598</x:v>
      </x:c>
      <x:c r="E177" s="8" t="n">
        <x:f>'Source'!$AH$184</x:f>
        <x:v>2689</x:v>
      </x:c>
      <x:c r="F177" s="8" t="n">
        <x:f>D177-E177</x:f>
        <x:v>25909</x:v>
      </x:c>
      <x:c r="G177" s="8" t="n">
        <x:f>SUM('Source'!$Z$184,'Source'!$AB$184,'Source'!$AD$184,'Source'!$AF$184)</x:f>
        <x:v>14973</x:v>
      </x:c>
      <x:c r="H177" s="8" t="n">
        <x:f>'Source'!$AF$184</x:f>
        <x:v>5662</x:v>
      </x:c>
      <x:c r="I177" s="9" t="n">
        <x:f>IF(F177=0,"n.a.",G177/F177)</x:f>
        <x:v>0.5779072909027752</x:v>
      </x:c>
      <x:c r="J177" s="9" t="n">
        <x:f>IF(F177=0,"n.a.",H177/F177)</x:f>
        <x:v>0.21853410011964955</x:v>
      </x:c>
      <x:c r="K177" s="9" t="n">
        <x:f>IF(D177=0,"n.a.",E177/D177)</x:f>
        <x:v>0.09402755437443178</x:v>
      </x:c>
    </x:row>
    <x:row r="178" ht="22" customHeight="1">
      <x:c r="A178" s="6" t="str">
        <x:f>'Source'!$C$185</x:f>
        <x:v>Janesville-Beloit, WI Metro Area</x:v>
      </x:c>
      <x:c r="B178" s="6" t="str">
        <x:f>'Source'!$B$185</x:f>
        <x:v>27500</x:v>
      </x:c>
      <x:c r="C178" s="7" t="n">
        <x:f>'Source'!$D$185</x:f>
        <x:v>2024</x:v>
      </x:c>
      <x:c r="D178" s="8" t="n">
        <x:f>'Source'!$N$185</x:f>
        <x:v>19105</x:v>
      </x:c>
      <x:c r="E178" s="8" t="n">
        <x:f>'Source'!$AH$185</x:f>
        <x:v>1515</x:v>
      </x:c>
      <x:c r="F178" s="8" t="n">
        <x:f>D178-E178</x:f>
        <x:v>17590</x:v>
      </x:c>
      <x:c r="G178" s="8" t="n">
        <x:f>SUM('Source'!$Z$185,'Source'!$AB$185,'Source'!$AD$185,'Source'!$AF$185)</x:f>
        <x:v>7971</x:v>
      </x:c>
      <x:c r="H178" s="8" t="n">
        <x:f>'Source'!$AF$185</x:f>
        <x:v>3851</x:v>
      </x:c>
      <x:c r="I178" s="9" t="n">
        <x:f>IF(F178=0,"n.a.",G178/F178)</x:f>
        <x:v>0.4531552018192155</x:v>
      </x:c>
      <x:c r="J178" s="9" t="n">
        <x:f>IF(F178=0,"n.a.",H178/F178)</x:f>
        <x:v>0.21893121091529277</x:v>
      </x:c>
      <x:c r="K178" s="9" t="n">
        <x:f>IF(D178=0,"n.a.",E178/D178)</x:f>
        <x:v>0.07929861292855274</x:v>
      </x:c>
    </x:row>
    <x:row r="179" ht="22" customHeight="1">
      <x:c r="A179" s="6" t="str">
        <x:f>'Source'!$C$186</x:f>
        <x:v>Jefferson City, MO Metro Area</x:v>
      </x:c>
      <x:c r="B179" s="6" t="str">
        <x:f>'Source'!$B$186</x:f>
        <x:v>27620</x:v>
      </x:c>
      <x:c r="C179" s="7" t="n">
        <x:f>'Source'!$D$186</x:f>
        <x:v>2024</x:v>
      </x:c>
      <x:c r="D179" s="8" t="n">
        <x:f>'Source'!$N$186</x:f>
        <x:v>18946</x:v>
      </x:c>
      <x:c r="E179" s="8" t="n">
        <x:f>'Source'!$AH$186</x:f>
        <x:v>1146</x:v>
      </x:c>
      <x:c r="F179" s="8" t="n">
        <x:f>D179-E179</x:f>
        <x:v>17800</x:v>
      </x:c>
      <x:c r="G179" s="8" t="n">
        <x:f>SUM('Source'!$Z$186,'Source'!$AB$186,'Source'!$AD$186,'Source'!$AF$186)</x:f>
        <x:v>7124</x:v>
      </x:c>
      <x:c r="H179" s="8" t="n">
        <x:f>'Source'!$AF$186</x:f>
        <x:v>3767</x:v>
      </x:c>
      <x:c r="I179" s="9" t="n">
        <x:f>IF(F179=0,"n.a.",G179/F179)</x:f>
        <x:v>0.4002247191011236</x:v>
      </x:c>
      <x:c r="J179" s="9" t="n">
        <x:f>IF(F179=0,"n.a.",H179/F179)</x:f>
        <x:v>0.21162921348314606</x:v>
      </x:c>
      <x:c r="K179" s="9" t="n">
        <x:f>IF(D179=0,"n.a.",E179/D179)</x:f>
        <x:v>0.060487701889580914</x:v>
      </x:c>
    </x:row>
    <x:row r="180" ht="22" customHeight="1">
      <x:c r="A180" s="6" t="str">
        <x:f>'Source'!$C$187</x:f>
        <x:v>Johnson City, TN Metro Area</x:v>
      </x:c>
      <x:c r="B180" s="6" t="str">
        <x:f>'Source'!$B$187</x:f>
        <x:v>27740</x:v>
      </x:c>
      <x:c r="C180" s="7" t="n">
        <x:f>'Source'!$D$187</x:f>
        <x:v>2024</x:v>
      </x:c>
      <x:c r="D180" s="8" t="n">
        <x:f>'Source'!$N$187</x:f>
        <x:v>28318</x:v>
      </x:c>
      <x:c r="E180" s="8" t="n">
        <x:f>'Source'!$AH$187</x:f>
        <x:v>3683</x:v>
      </x:c>
      <x:c r="F180" s="8" t="n">
        <x:f>D180-E180</x:f>
        <x:v>24635</x:v>
      </x:c>
      <x:c r="G180" s="8" t="n">
        <x:f>SUM('Source'!$Z$187,'Source'!$AB$187,'Source'!$AD$187,'Source'!$AF$187)</x:f>
        <x:v>11137</x:v>
      </x:c>
      <x:c r="H180" s="8" t="n">
        <x:f>'Source'!$AF$187</x:f>
        <x:v>4368</x:v>
      </x:c>
      <x:c r="I180" s="9" t="n">
        <x:f>IF(F180=0,"n.a.",G180/F180)</x:f>
        <x:v>0.4520803734524051</x:v>
      </x:c>
      <x:c r="J180" s="9" t="n">
        <x:f>IF(F180=0,"n.a.",H180/F180)</x:f>
        <x:v>0.17730870712401056</x:v>
      </x:c>
      <x:c r="K180" s="9" t="n">
        <x:f>IF(D180=0,"n.a.",E180/D180)</x:f>
        <x:v>0.13005861995903664</x:v>
      </x:c>
    </x:row>
    <x:row r="181" ht="22" customHeight="1">
      <x:c r="A181" s="6" t="str">
        <x:f>'Source'!$C$188</x:f>
        <x:v>Johnstown, PA Metro Area</x:v>
      </x:c>
      <x:c r="B181" s="6" t="str">
        <x:f>'Source'!$B$188</x:f>
        <x:v>27780</x:v>
      </x:c>
      <x:c r="C181" s="7" t="n">
        <x:f>'Source'!$D$188</x:f>
        <x:v>2024</x:v>
      </x:c>
      <x:c r="D181" s="8" t="n">
        <x:f>'Source'!$N$188</x:f>
        <x:v>13433</x:v>
      </x:c>
      <x:c r="E181" s="8" t="n">
        <x:f>'Source'!$AH$188</x:f>
        <x:v>2719</x:v>
      </x:c>
      <x:c r="F181" s="8" t="n">
        <x:f>D181-E181</x:f>
        <x:v>10714</x:v>
      </x:c>
      <x:c r="G181" s="8" t="n">
        <x:f>SUM('Source'!$Z$188,'Source'!$AB$188,'Source'!$AD$188,'Source'!$AF$188)</x:f>
        <x:v>4416</x:v>
      </x:c>
      <x:c r="H181" s="8" t="n">
        <x:f>'Source'!$AF$188</x:f>
        <x:v>2130</x:v>
      </x:c>
      <x:c r="I181" s="9" t="n">
        <x:f>IF(F181=0,"n.a.",G181/F181)</x:f>
        <x:v>0.4121709912264327</x:v>
      </x:c>
      <x:c r="J181" s="9" t="n">
        <x:f>IF(F181=0,"n.a.",H181/F181)</x:f>
        <x:v>0.198805301474706</x:v>
      </x:c>
      <x:c r="K181" s="9" t="n">
        <x:f>IF(D181=0,"n.a.",E181/D181)</x:f>
        <x:v>0.2024119705203603</x:v>
      </x:c>
    </x:row>
    <x:row r="182" ht="22" customHeight="1">
      <x:c r="A182" s="6" t="str">
        <x:f>'Source'!$C$189</x:f>
        <x:v>Jonesboro, AR Metro Area</x:v>
      </x:c>
      <x:c r="B182" s="6" t="str">
        <x:f>'Source'!$B$189</x:f>
        <x:v>27860</x:v>
      </x:c>
      <x:c r="C182" s="7" t="n">
        <x:f>'Source'!$D$189</x:f>
        <x:v>2024</x:v>
      </x:c>
      <x:c r="D182" s="8" t="n">
        <x:f>'Source'!$N$189</x:f>
        <x:v>20393</x:v>
      </x:c>
      <x:c r="E182" s="8" t="n">
        <x:f>'Source'!$AH$189</x:f>
        <x:v>1849</x:v>
      </x:c>
      <x:c r="F182" s="8" t="n">
        <x:f>D182-E182</x:f>
        <x:v>18544</x:v>
      </x:c>
      <x:c r="G182" s="8" t="n">
        <x:f>SUM('Source'!$Z$189,'Source'!$AB$189,'Source'!$AD$189,'Source'!$AF$189)</x:f>
        <x:v>10074</x:v>
      </x:c>
      <x:c r="H182" s="8" t="n">
        <x:f>'Source'!$AF$189</x:f>
        <x:v>4063</x:v>
      </x:c>
      <x:c r="I182" s="9" t="n">
        <x:f>IF(F182=0,"n.a.",G182/F182)</x:f>
        <x:v>0.5432484900776532</x:v>
      </x:c>
      <x:c r="J182" s="9" t="n">
        <x:f>IF(F182=0,"n.a.",H182/F182)</x:f>
        <x:v>0.21910051768766178</x:v>
      </x:c>
      <x:c r="K182" s="9" t="n">
        <x:f>IF(D182=0,"n.a.",E182/D182)</x:f>
        <x:v>0.09066836659638111</x:v>
      </x:c>
    </x:row>
    <x:row r="183" ht="22" customHeight="1">
      <x:c r="A183" s="6" t="str">
        <x:f>'Source'!$C$190</x:f>
        <x:v>Joplin, MO-KS Metro Area</x:v>
      </x:c>
      <x:c r="B183" s="6" t="str">
        <x:f>'Source'!$B$190</x:f>
        <x:v>27900</x:v>
      </x:c>
      <x:c r="C183" s="7" t="n">
        <x:f>'Source'!$D$190</x:f>
        <x:v>2024</x:v>
      </x:c>
      <x:c r="D183" s="8" t="n">
        <x:f>'Source'!$N$190</x:f>
        <x:v>27602</x:v>
      </x:c>
      <x:c r="E183" s="8" t="n">
        <x:f>'Source'!$AH$190</x:f>
        <x:v>1745</x:v>
      </x:c>
      <x:c r="F183" s="8" t="n">
        <x:f>D183-E183</x:f>
        <x:v>25857</x:v>
      </x:c>
      <x:c r="G183" s="8" t="n">
        <x:f>SUM('Source'!$Z$190,'Source'!$AB$190,'Source'!$AD$190,'Source'!$AF$190)</x:f>
        <x:v>10455</x:v>
      </x:c>
      <x:c r="H183" s="8" t="n">
        <x:f>'Source'!$AF$190</x:f>
        <x:v>5409</x:v>
      </x:c>
      <x:c r="I183" s="9" t="n">
        <x:f>IF(F183=0,"n.a.",G183/F183)</x:f>
        <x:v>0.40433925049309666</x:v>
      </x:c>
      <x:c r="J183" s="9" t="n">
        <x:f>IF(F183=0,"n.a.",H183/F183)</x:f>
        <x:v>0.20918900104420465</x:v>
      </x:c>
      <x:c r="K183" s="9" t="n">
        <x:f>IF(D183=0,"n.a.",E183/D183)</x:f>
        <x:v>0.06322005651764365</x:v>
      </x:c>
    </x:row>
    <x:row r="184" ht="22" customHeight="1">
      <x:c r="A184" s="6" t="str">
        <x:f>'Source'!$C$191</x:f>
        <x:v>Kahului-Wailuku, HI Metro Area</x:v>
      </x:c>
      <x:c r="B184" s="6" t="str">
        <x:f>'Source'!$B$191</x:f>
        <x:v>27980</x:v>
      </x:c>
      <x:c r="C184" s="7" t="n">
        <x:f>'Source'!$D$191</x:f>
        <x:v>2024</x:v>
      </x:c>
      <x:c r="D184" s="8" t="n">
        <x:f>'Source'!$N$191</x:f>
        <x:v>19435</x:v>
      </x:c>
      <x:c r="E184" s="8" t="n">
        <x:f>'Source'!$AH$191</x:f>
        <x:v>2516</x:v>
      </x:c>
      <x:c r="F184" s="8" t="n">
        <x:f>D184-E184</x:f>
        <x:v>16919</x:v>
      </x:c>
      <x:c r="G184" s="8" t="n">
        <x:f>SUM('Source'!$Z$191,'Source'!$AB$191,'Source'!$AD$191,'Source'!$AF$191)</x:f>
        <x:v>9272</x:v>
      </x:c>
      <x:c r="H184" s="8" t="n">
        <x:f>'Source'!$AF$191</x:f>
        <x:v>5648</x:v>
      </x:c>
      <x:c r="I184" s="9" t="n">
        <x:f>IF(F184=0,"n.a.",G184/F184)</x:f>
        <x:v>0.5480229327974466</x:v>
      </x:c>
      <x:c r="J184" s="9" t="n">
        <x:f>IF(F184=0,"n.a.",H184/F184)</x:f>
        <x:v>0.33382587623382</x:v>
      </x:c>
      <x:c r="K184" s="9" t="n">
        <x:f>IF(D184=0,"n.a.",E184/D184)</x:f>
        <x:v>0.12945716490866993</x:v>
      </x:c>
    </x:row>
    <x:row r="185" ht="22" customHeight="1">
      <x:c r="A185" s="6" t="str">
        <x:f>'Source'!$C$192</x:f>
        <x:v>Kalamazoo-Portage, MI Metro Area</x:v>
      </x:c>
      <x:c r="B185" s="6" t="str">
        <x:f>'Source'!$B$192</x:f>
        <x:v>28020</x:v>
      </x:c>
      <x:c r="C185" s="7" t="n">
        <x:f>'Source'!$D$192</x:f>
        <x:v>2024</x:v>
      </x:c>
      <x:c r="D185" s="8" t="n">
        <x:f>'Source'!$N$192</x:f>
        <x:v>38217</x:v>
      </x:c>
      <x:c r="E185" s="8" t="n">
        <x:f>'Source'!$AH$192</x:f>
        <x:v>1476</x:v>
      </x:c>
      <x:c r="F185" s="8" t="n">
        <x:f>D185-E185</x:f>
        <x:v>36741</x:v>
      </x:c>
      <x:c r="G185" s="8" t="n">
        <x:f>SUM('Source'!$Z$192,'Source'!$AB$192,'Source'!$AD$192,'Source'!$AF$192)</x:f>
        <x:v>19840</x:v>
      </x:c>
      <x:c r="H185" s="8" t="n">
        <x:f>'Source'!$AF$192</x:f>
        <x:v>9244</x:v>
      </x:c>
      <x:c r="I185" s="9" t="n">
        <x:f>IF(F185=0,"n.a.",G185/F185)</x:f>
        <x:v>0.5399961895430173</x:v>
      </x:c>
      <x:c r="J185" s="9" t="n">
        <x:f>IF(F185=0,"n.a.",H185/F185)</x:f>
        <x:v>0.2515990310552244</x:v>
      </x:c>
      <x:c r="K185" s="9" t="n">
        <x:f>IF(D185=0,"n.a.",E185/D185)</x:f>
        <x:v>0.0386215558521077</x:v>
      </x:c>
    </x:row>
    <x:row r="186" ht="22" customHeight="1">
      <x:c r="A186" s="6" t="str">
        <x:f>'Source'!$C$193</x:f>
        <x:v>Kankakee, IL Metro Area</x:v>
      </x:c>
      <x:c r="B186" s="6" t="str">
        <x:f>'Source'!$B$193</x:f>
        <x:v>28100</x:v>
      </x:c>
      <x:c r="C186" s="7" t="n">
        <x:f>'Source'!$D$193</x:f>
        <x:v>2024</x:v>
      </x:c>
      <x:c r="D186" s="8" t="n">
        <x:f>'Source'!$N$193</x:f>
        <x:v>11940</x:v>
      </x:c>
      <x:c r="E186" s="8" t="n">
        <x:f>'Source'!$AH$193</x:f>
        <x:v>1295</x:v>
      </x:c>
      <x:c r="F186" s="8" t="n">
        <x:f>D186-E186</x:f>
        <x:v>10645</x:v>
      </x:c>
      <x:c r="G186" s="8" t="n">
        <x:f>SUM('Source'!$Z$193,'Source'!$AB$193,'Source'!$AD$193,'Source'!$AF$193)</x:f>
        <x:v>5236</x:v>
      </x:c>
      <x:c r="H186" s="8" t="n">
        <x:f>'Source'!$AF$193</x:f>
        <x:v>2757</x:v>
      </x:c>
      <x:c r="I186" s="9" t="n">
        <x:f>IF(F186=0,"n.a.",G186/F186)</x:f>
        <x:v>0.49187411930483793</x:v>
      </x:c>
      <x:c r="J186" s="9" t="n">
        <x:f>IF(F186=0,"n.a.",H186/F186)</x:f>
        <x:v>0.2589948332550493</x:v>
      </x:c>
      <x:c r="K186" s="9" t="n">
        <x:f>IF(D186=0,"n.a.",E186/D186)</x:f>
        <x:v>0.10845896147403684</x:v>
      </x:c>
    </x:row>
    <x:row r="187" ht="22" customHeight="1">
      <x:c r="A187" s="6" t="str">
        <x:f>'Source'!$C$194</x:f>
        <x:v>Kansas City, MO-KS Metro Area</x:v>
      </x:c>
      <x:c r="B187" s="6" t="str">
        <x:f>'Source'!$B$194</x:f>
        <x:v>28140</x:v>
      </x:c>
      <x:c r="C187" s="7" t="n">
        <x:f>'Source'!$D$194</x:f>
        <x:v>2024</x:v>
      </x:c>
      <x:c r="D187" s="8" t="n">
        <x:f>'Source'!$N$194</x:f>
        <x:v>303939</x:v>
      </x:c>
      <x:c r="E187" s="8" t="n">
        <x:f>'Source'!$AH$194</x:f>
        <x:v>14850</x:v>
      </x:c>
      <x:c r="F187" s="8" t="n">
        <x:f>D187-E187</x:f>
        <x:v>289089</x:v>
      </x:c>
      <x:c r="G187" s="8" t="n">
        <x:f>SUM('Source'!$Z$194,'Source'!$AB$194,'Source'!$AD$194,'Source'!$AF$194)</x:f>
        <x:v>140072</x:v>
      </x:c>
      <x:c r="H187" s="8" t="n">
        <x:f>'Source'!$AF$194</x:f>
        <x:v>64785</x:v>
      </x:c>
      <x:c r="I187" s="9" t="n">
        <x:f>IF(F187=0,"n.a.",G187/F187)</x:f>
        <x:v>0.4845289858832401</x:v>
      </x:c>
      <x:c r="J187" s="9" t="n">
        <x:f>IF(F187=0,"n.a.",H187/F187)</x:f>
        <x:v>0.22410053651297698</x:v>
      </x:c>
      <x:c r="K187" s="9" t="n">
        <x:f>IF(D187=0,"n.a.",E187/D187)</x:f>
        <x:v>0.04885848805187883</x:v>
      </x:c>
    </x:row>
    <x:row r="188" ht="22" customHeight="1">
      <x:c r="A188" s="6" t="str">
        <x:f>'Source'!$C$195</x:f>
        <x:v>Kennewick-Richland, WA Metro Area</x:v>
      </x:c>
      <x:c r="B188" s="6" t="str">
        <x:f>'Source'!$B$195</x:f>
        <x:v>28420</x:v>
      </x:c>
      <x:c r="C188" s="7" t="n">
        <x:f>'Source'!$D$195</x:f>
        <x:v>2024</x:v>
      </x:c>
      <x:c r="D188" s="8" t="n">
        <x:f>'Source'!$N$195</x:f>
        <x:v>38828</x:v>
      </x:c>
      <x:c r="E188" s="8" t="n">
        <x:f>'Source'!$AH$195</x:f>
        <x:v>3848</x:v>
      </x:c>
      <x:c r="F188" s="8" t="n">
        <x:f>D188-E188</x:f>
        <x:v>34980</x:v>
      </x:c>
      <x:c r="G188" s="8" t="n">
        <x:f>SUM('Source'!$Z$195,'Source'!$AB$195,'Source'!$AD$195,'Source'!$AF$195)</x:f>
        <x:v>16770</x:v>
      </x:c>
      <x:c r="H188" s="8" t="n">
        <x:f>'Source'!$AF$195</x:f>
        <x:v>8968</x:v>
      </x:c>
      <x:c r="I188" s="9" t="n">
        <x:f>IF(F188=0,"n.a.",G188/F188)</x:f>
        <x:v>0.4794168096054888</x:v>
      </x:c>
      <x:c r="J188" s="9" t="n">
        <x:f>IF(F188=0,"n.a.",H188/F188)</x:f>
        <x:v>0.2563750714694111</x:v>
      </x:c>
      <x:c r="K188" s="9" t="n">
        <x:f>IF(D188=0,"n.a.",E188/D188)</x:f>
        <x:v>0.09910373956938293</x:v>
      </x:c>
    </x:row>
    <x:row r="189" ht="22" customHeight="1">
      <x:c r="A189" s="6" t="str">
        <x:f>'Source'!$C$196</x:f>
        <x:v>Kenosha, WI Metro Area</x:v>
      </x:c>
      <x:c r="B189" s="6" t="str">
        <x:f>'Source'!$B$196</x:f>
        <x:v>28450</x:v>
      </x:c>
      <x:c r="C189" s="7" t="n">
        <x:f>'Source'!$D$196</x:f>
        <x:v>2024</x:v>
      </x:c>
      <x:c r="D189" s="8" t="n">
        <x:f>'Source'!$N$196</x:f>
        <x:v>23602</x:v>
      </x:c>
      <x:c r="E189" s="8" t="n">
        <x:f>'Source'!$AH$196</x:f>
        <x:v>1017</x:v>
      </x:c>
      <x:c r="F189" s="8" t="n">
        <x:f>D189-E189</x:f>
        <x:v>22585</x:v>
      </x:c>
      <x:c r="G189" s="8" t="n">
        <x:f>SUM('Source'!$Z$196,'Source'!$AB$196,'Source'!$AD$196,'Source'!$AF$196)</x:f>
        <x:v>10723</x:v>
      </x:c>
      <x:c r="H189" s="8" t="n">
        <x:f>'Source'!$AF$196</x:f>
        <x:v>5331</x:v>
      </x:c>
      <x:c r="I189" s="9" t="n">
        <x:f>IF(F189=0,"n.a.",G189/F189)</x:f>
        <x:v>0.47478414877130837</x:v>
      </x:c>
      <x:c r="J189" s="9" t="n">
        <x:f>IF(F189=0,"n.a.",H189/F189)</x:f>
        <x:v>0.23604162054460925</x:v>
      </x:c>
      <x:c r="K189" s="9" t="n">
        <x:f>IF(D189=0,"n.a.",E189/D189)</x:f>
        <x:v>0.043089568680620284</x:v>
      </x:c>
    </x:row>
    <x:row r="190" ht="22" customHeight="1">
      <x:c r="A190" s="6" t="str">
        <x:f>'Source'!$C$197</x:f>
        <x:v>Killeen-Temple, TX Metro Area</x:v>
      </x:c>
      <x:c r="B190" s="6" t="str">
        <x:f>'Source'!$B$197</x:f>
        <x:v>28660</x:v>
      </x:c>
      <x:c r="C190" s="7" t="n">
        <x:f>'Source'!$D$197</x:f>
        <x:v>2024</x:v>
      </x:c>
      <x:c r="D190" s="8" t="n">
        <x:f>'Source'!$N$197</x:f>
        <x:v>76125</x:v>
      </x:c>
      <x:c r="E190" s="8" t="n">
        <x:f>'Source'!$AH$197</x:f>
        <x:v>3346</x:v>
      </x:c>
      <x:c r="F190" s="8" t="n">
        <x:f>D190-E190</x:f>
        <x:v>72779</x:v>
      </x:c>
      <x:c r="G190" s="8" t="n">
        <x:f>SUM('Source'!$Z$197,'Source'!$AB$197,'Source'!$AD$197,'Source'!$AF$197)</x:f>
        <x:v>36901</x:v>
      </x:c>
      <x:c r="H190" s="8" t="n">
        <x:f>'Source'!$AF$197</x:f>
        <x:v>16810</x:v>
      </x:c>
      <x:c r="I190" s="9" t="n">
        <x:f>IF(F190=0,"n.a.",G190/F190)</x:f>
        <x:v>0.5070281262452081</x:v>
      </x:c>
      <x:c r="J190" s="9" t="n">
        <x:f>IF(F190=0,"n.a.",H190/F190)</x:f>
        <x:v>0.2309732202970637</x:v>
      </x:c>
      <x:c r="K190" s="9" t="n">
        <x:f>IF(D190=0,"n.a.",E190/D190)</x:f>
        <x:v>0.043954022988505745</x:v>
      </x:c>
    </x:row>
    <x:row r="191" ht="22" customHeight="1">
      <x:c r="A191" s="6" t="str">
        <x:f>'Source'!$C$198</x:f>
        <x:v>Kingsport-Bristol, TN-VA Metro Area</x:v>
      </x:c>
      <x:c r="B191" s="6" t="str">
        <x:f>'Source'!$B$198</x:f>
        <x:v>28700</x:v>
      </x:c>
      <x:c r="C191" s="7" t="n">
        <x:f>'Source'!$D$198</x:f>
        <x:v>2024</x:v>
      </x:c>
      <x:c r="D191" s="8" t="n">
        <x:f>'Source'!$N$198</x:f>
        <x:v>36499</x:v>
      </x:c>
      <x:c r="E191" s="8" t="n">
        <x:f>'Source'!$AH$198</x:f>
        <x:v>6567</x:v>
      </x:c>
      <x:c r="F191" s="8" t="n">
        <x:f>D191-E191</x:f>
        <x:v>29932</x:v>
      </x:c>
      <x:c r="G191" s="8" t="n">
        <x:f>SUM('Source'!$Z$198,'Source'!$AB$198,'Source'!$AD$198,'Source'!$AF$198)</x:f>
        <x:v>12607</x:v>
      </x:c>
      <x:c r="H191" s="8" t="n">
        <x:f>'Source'!$AF$198</x:f>
        <x:v>6750</x:v>
      </x:c>
      <x:c r="I191" s="9" t="n">
        <x:f>IF(F191=0,"n.a.",G191/F191)</x:f>
        <x:v>0.42118802619270346</x:v>
      </x:c>
      <x:c r="J191" s="9" t="n">
        <x:f>IF(F191=0,"n.a.",H191/F191)</x:f>
        <x:v>0.22551115862621943</x:v>
      </x:c>
      <x:c r="K191" s="9" t="n">
        <x:f>IF(D191=0,"n.a.",E191/D191)</x:f>
        <x:v>0.17992273760924957</x:v>
      </x:c>
    </x:row>
    <x:row r="192" ht="22" customHeight="1">
      <x:c r="A192" s="6" t="str">
        <x:f>'Source'!$C$199</x:f>
        <x:v>Kingston, NY Metro Area</x:v>
      </x:c>
      <x:c r="B192" s="6" t="str">
        <x:f>'Source'!$B$199</x:f>
        <x:v>28740</x:v>
      </x:c>
      <x:c r="C192" s="7" t="n">
        <x:f>'Source'!$D$199</x:f>
        <x:v>2024</x:v>
      </x:c>
      <x:c r="D192" s="8" t="n">
        <x:f>'Source'!$N$199</x:f>
        <x:v>22888</x:v>
      </x:c>
      <x:c r="E192" s="8" t="n">
        <x:f>'Source'!$AH$199</x:f>
        <x:v>1531</x:v>
      </x:c>
      <x:c r="F192" s="8" t="n">
        <x:f>D192-E192</x:f>
        <x:v>21357</x:v>
      </x:c>
      <x:c r="G192" s="8" t="n">
        <x:f>SUM('Source'!$Z$199,'Source'!$AB$199,'Source'!$AD$199,'Source'!$AF$199)</x:f>
        <x:v>11979</x:v>
      </x:c>
      <x:c r="H192" s="8" t="n">
        <x:f>'Source'!$AF$199</x:f>
        <x:v>6010</x:v>
      </x:c>
      <x:c r="I192" s="9" t="n">
        <x:f>IF(F192=0,"n.a.",G192/F192)</x:f>
        <x:v>0.5608933839022334</x:v>
      </x:c>
      <x:c r="J192" s="9" t="n">
        <x:f>IF(F192=0,"n.a.",H192/F192)</x:f>
        <x:v>0.2814065645924053</x:v>
      </x:c>
      <x:c r="K192" s="9" t="n">
        <x:f>IF(D192=0,"n.a.",E192/D192)</x:f>
        <x:v>0.06689094722125132</x:v>
      </x:c>
    </x:row>
    <x:row r="193" ht="22" customHeight="1">
      <x:c r="A193" s="6" t="str">
        <x:f>'Source'!$C$200</x:f>
        <x:v>Kiryas Joel-Poughkeepsie-Newburgh, NY Metro Area</x:v>
      </x:c>
      <x:c r="B193" s="6" t="str">
        <x:f>'Source'!$B$200</x:f>
        <x:v>28880</x:v>
      </x:c>
      <x:c r="C193" s="7" t="n">
        <x:f>'Source'!$D$200</x:f>
        <x:v>2024</x:v>
      </x:c>
      <x:c r="D193" s="8" t="n">
        <x:f>'Source'!$N$200</x:f>
        <x:v>85488</x:v>
      </x:c>
      <x:c r="E193" s="8" t="n">
        <x:f>'Source'!$AH$200</x:f>
        <x:v>5507</x:v>
      </x:c>
      <x:c r="F193" s="8" t="n">
        <x:f>D193-E193</x:f>
        <x:v>79981</x:v>
      </x:c>
      <x:c r="G193" s="8" t="n">
        <x:f>SUM('Source'!$Z$200,'Source'!$AB$200,'Source'!$AD$200,'Source'!$AF$200)</x:f>
        <x:v>44539</x:v>
      </x:c>
      <x:c r="H193" s="8" t="n">
        <x:f>'Source'!$AF$200</x:f>
        <x:v>26172</x:v>
      </x:c>
      <x:c r="I193" s="9" t="n">
        <x:f>IF(F193=0,"n.a.",G193/F193)</x:f>
        <x:v>0.5568697565671847</x:v>
      </x:c>
      <x:c r="J193" s="9" t="n">
        <x:f>IF(F193=0,"n.a.",H193/F193)</x:f>
        <x:v>0.3272277165826884</x:v>
      </x:c>
      <x:c r="K193" s="9" t="n">
        <x:f>IF(D193=0,"n.a.",E193/D193)</x:f>
        <x:v>0.06441839790379936</x:v>
      </x:c>
    </x:row>
    <x:row r="194" ht="22" customHeight="1">
      <x:c r="A194" s="6" t="str">
        <x:f>'Source'!$C$201</x:f>
        <x:v>Knoxville, TN Metro Area</x:v>
      </x:c>
      <x:c r="B194" s="6" t="str">
        <x:f>'Source'!$B$201</x:f>
        <x:v>28940</x:v>
      </x:c>
      <x:c r="C194" s="7" t="n">
        <x:f>'Source'!$D$201</x:f>
        <x:v>2024</x:v>
      </x:c>
      <x:c r="D194" s="8" t="n">
        <x:f>'Source'!$N$201</x:f>
        <x:v>115399</x:v>
      </x:c>
      <x:c r="E194" s="8" t="n">
        <x:f>'Source'!$AH$201</x:f>
        <x:v>10019</x:v>
      </x:c>
      <x:c r="F194" s="8" t="n">
        <x:f>D194-E194</x:f>
        <x:v>105380</x:v>
      </x:c>
      <x:c r="G194" s="8" t="n">
        <x:f>SUM('Source'!$Z$201,'Source'!$AB$201,'Source'!$AD$201,'Source'!$AF$201)</x:f>
        <x:v>52033</x:v>
      </x:c>
      <x:c r="H194" s="8" t="n">
        <x:f>'Source'!$AF$201</x:f>
        <x:v>25272</x:v>
      </x:c>
      <x:c r="I194" s="9" t="n">
        <x:f>IF(F194=0,"n.a.",G194/F194)</x:f>
        <x:v>0.49376542038337445</x:v>
      </x:c>
      <x:c r="J194" s="9" t="n">
        <x:f>IF(F194=0,"n.a.",H194/F194)</x:f>
        <x:v>0.23981780223951413</x:v>
      </x:c>
      <x:c r="K194" s="9" t="n">
        <x:f>IF(D194=0,"n.a.",E194/D194)</x:f>
        <x:v>0.08682050970978951</x:v>
      </x:c>
    </x:row>
    <x:row r="195" ht="22" customHeight="1">
      <x:c r="A195" s="6" t="str">
        <x:f>'Source'!$C$202</x:f>
        <x:v>Kokomo, IN Metro Area</x:v>
      </x:c>
      <x:c r="B195" s="6" t="str">
        <x:f>'Source'!$B$202</x:f>
        <x:v>29020</x:v>
      </x:c>
      <x:c r="C195" s="7" t="n">
        <x:f>'Source'!$D$202</x:f>
        <x:v>2024</x:v>
      </x:c>
      <x:c r="D195" s="8" t="n">
        <x:f>'Source'!$N$202</x:f>
        <x:v>11344</x:v>
      </x:c>
      <x:c r="E195" s="8" t="n">
        <x:f>'Source'!$AH$202</x:f>
        <x:v>699</x:v>
      </x:c>
      <x:c r="F195" s="8" t="n">
        <x:f>D195-E195</x:f>
        <x:v>10645</x:v>
      </x:c>
      <x:c r="G195" s="8" t="n">
        <x:f>SUM('Source'!$Z$202,'Source'!$AB$202,'Source'!$AD$202,'Source'!$AF$202)</x:f>
        <x:v>4527</x:v>
      </x:c>
      <x:c r="H195" s="8" t="n">
        <x:f>'Source'!$AF$202</x:f>
        <x:v>2877</x:v>
      </x:c>
      <x:c r="I195" s="9" t="n">
        <x:f>IF(F195=0,"n.a.",G195/F195)</x:f>
        <x:v>0.42527007984969467</x:v>
      </x:c>
      <x:c r="J195" s="9" t="n">
        <x:f>IF(F195=0,"n.a.",H195/F195)</x:f>
        <x:v>0.2702677313292626</x:v>
      </x:c>
      <x:c r="K195" s="9" t="n">
        <x:f>IF(D195=0,"n.a.",E195/D195)</x:f>
        <x:v>0.061618476727785615</x:v>
      </x:c>
    </x:row>
    <x:row r="196" ht="22" customHeight="1">
      <x:c r="A196" s="6" t="str">
        <x:f>'Source'!$C$203</x:f>
        <x:v>La Crosse-Onalaska, WI-MN Metro Area</x:v>
      </x:c>
      <x:c r="B196" s="6" t="str">
        <x:f>'Source'!$B$203</x:f>
        <x:v>29100</x:v>
      </x:c>
      <x:c r="C196" s="7" t="n">
        <x:f>'Source'!$D$203</x:f>
        <x:v>2024</x:v>
      </x:c>
      <x:c r="D196" s="8" t="n">
        <x:f>'Source'!$N$203</x:f>
        <x:v>25453</x:v>
      </x:c>
      <x:c r="E196" s="8" t="n">
        <x:f>'Source'!$AH$203</x:f>
        <x:v>1018</x:v>
      </x:c>
      <x:c r="F196" s="8" t="n">
        <x:f>D196-E196</x:f>
        <x:v>24435</x:v>
      </x:c>
      <x:c r="G196" s="8" t="n">
        <x:f>SUM('Source'!$Z$203,'Source'!$AB$203,'Source'!$AD$203,'Source'!$AF$203)</x:f>
        <x:v>9626</x:v>
      </x:c>
      <x:c r="H196" s="8" t="n">
        <x:f>'Source'!$AF$203</x:f>
        <x:v>4023</x:v>
      </x:c>
      <x:c r="I196" s="9" t="n">
        <x:f>IF(F196=0,"n.a.",G196/F196)</x:f>
        <x:v>0.3939431143851033</x:v>
      </x:c>
      <x:c r="J196" s="9" t="n">
        <x:f>IF(F196=0,"n.a.",H196/F196)</x:f>
        <x:v>0.16464088397790055</x:v>
      </x:c>
      <x:c r="K196" s="9" t="n">
        <x:f>IF(D196=0,"n.a.",E196/D196)</x:f>
        <x:v>0.03999528542804385</x:v>
      </x:c>
    </x:row>
    <x:row r="197" ht="22" customHeight="1">
      <x:c r="A197" s="6" t="str">
        <x:f>'Source'!$C$204</x:f>
        <x:v>Lafayette, LA Metro Area</x:v>
      </x:c>
      <x:c r="B197" s="6" t="str">
        <x:f>'Source'!$B$204</x:f>
        <x:v>29180</x:v>
      </x:c>
      <x:c r="C197" s="7" t="n">
        <x:f>'Source'!$D$204</x:f>
        <x:v>2024</x:v>
      </x:c>
      <x:c r="D197" s="8" t="n">
        <x:f>'Source'!$N$204</x:f>
        <x:v>53008</x:v>
      </x:c>
      <x:c r="E197" s="8" t="n">
        <x:f>'Source'!$AH$204</x:f>
        <x:v>9336</x:v>
      </x:c>
      <x:c r="F197" s="8" t="n">
        <x:f>D197-E197</x:f>
        <x:v>43672</x:v>
      </x:c>
      <x:c r="G197" s="8" t="n">
        <x:f>SUM('Source'!$Z$204,'Source'!$AB$204,'Source'!$AD$204,'Source'!$AF$204)</x:f>
        <x:v>22073</x:v>
      </x:c>
      <x:c r="H197" s="8" t="n">
        <x:f>'Source'!$AF$204</x:f>
        <x:v>11261</x:v>
      </x:c>
      <x:c r="I197" s="9" t="n">
        <x:f>IF(F197=0,"n.a.",G197/F197)</x:f>
        <x:v>0.5054268180985528</x:v>
      </x:c>
      <x:c r="J197" s="9" t="n">
        <x:f>IF(F197=0,"n.a.",H197/F197)</x:f>
        <x:v>0.25785400256457225</x:v>
      </x:c>
      <x:c r="K197" s="9" t="n">
        <x:f>IF(D197=0,"n.a.",E197/D197)</x:f>
        <x:v>0.17612435858738304</x:v>
      </x:c>
    </x:row>
    <x:row r="198" ht="22" customHeight="1">
      <x:c r="A198" s="6" t="str">
        <x:f>'Source'!$C$205</x:f>
        <x:v>Lafayette-West Lafayette, IN Metro Area</x:v>
      </x:c>
      <x:c r="B198" s="6" t="str">
        <x:f>'Source'!$B$205</x:f>
        <x:v>29200</x:v>
      </x:c>
      <x:c r="C198" s="7" t="n">
        <x:f>'Source'!$D$205</x:f>
        <x:v>2024</x:v>
      </x:c>
      <x:c r="D198" s="8" t="n">
        <x:f>'Source'!$N$205</x:f>
        <x:v>40802</x:v>
      </x:c>
      <x:c r="E198" s="8" t="n">
        <x:f>'Source'!$AH$205</x:f>
        <x:v>2602</x:v>
      </x:c>
      <x:c r="F198" s="8" t="n">
        <x:f>D198-E198</x:f>
        <x:v>38200</x:v>
      </x:c>
      <x:c r="G198" s="8" t="n">
        <x:f>SUM('Source'!$Z$205,'Source'!$AB$205,'Source'!$AD$205,'Source'!$AF$205)</x:f>
        <x:v>22410</x:v>
      </x:c>
      <x:c r="H198" s="8" t="n">
        <x:f>'Source'!$AF$205</x:f>
        <x:v>10444</x:v>
      </x:c>
      <x:c r="I198" s="9" t="n">
        <x:f>IF(F198=0,"n.a.",G198/F198)</x:f>
        <x:v>0.5866492146596859</x:v>
      </x:c>
      <x:c r="J198" s="9" t="n">
        <x:f>IF(F198=0,"n.a.",H198/F198)</x:f>
        <x:v>0.27340314136125654</x:v>
      </x:c>
      <x:c r="K198" s="9" t="n">
        <x:f>IF(D198=0,"n.a.",E198/D198)</x:f>
        <x:v>0.06377138375569825</x:v>
      </x:c>
    </x:row>
    <x:row r="199" ht="22" customHeight="1">
      <x:c r="A199" s="6" t="str">
        <x:f>'Source'!$C$206</x:f>
        <x:v>Lake Charles, LA Metro Area</x:v>
      </x:c>
      <x:c r="B199" s="6" t="str">
        <x:f>'Source'!$B$206</x:f>
        <x:v>29340</x:v>
      </x:c>
      <x:c r="C199" s="7" t="n">
        <x:f>'Source'!$D$206</x:f>
        <x:v>2024</x:v>
      </x:c>
      <x:c r="D199" s="8" t="n">
        <x:f>'Source'!$N$206</x:f>
        <x:v>25769</x:v>
      </x:c>
      <x:c r="E199" s="8" t="n">
        <x:f>'Source'!$AH$206</x:f>
        <x:v>3051</x:v>
      </x:c>
      <x:c r="F199" s="8" t="n">
        <x:f>D199-E199</x:f>
        <x:v>22718</x:v>
      </x:c>
      <x:c r="G199" s="8" t="n">
        <x:f>SUM('Source'!$Z$206,'Source'!$AB$206,'Source'!$AD$206,'Source'!$AF$206)</x:f>
        <x:v>10219</x:v>
      </x:c>
      <x:c r="H199" s="8" t="n">
        <x:f>'Source'!$AF$206</x:f>
        <x:v>6339</x:v>
      </x:c>
      <x:c r="I199" s="9" t="n">
        <x:f>IF(F199=0,"n.a.",G199/F199)</x:f>
        <x:v>0.44981952636675765</x:v>
      </x:c>
      <x:c r="J199" s="9" t="n">
        <x:f>IF(F199=0,"n.a.",H199/F199)</x:f>
        <x:v>0.27902984417642396</x:v>
      </x:c>
      <x:c r="K199" s="9" t="n">
        <x:f>IF(D199=0,"n.a.",E199/D199)</x:f>
        <x:v>0.11839807520664364</x:v>
      </x:c>
    </x:row>
    <x:row r="200" ht="22" customHeight="1">
      <x:c r="A200" s="6" t="str">
        <x:f>'Source'!$C$207</x:f>
        <x:v>Lake Havasu City-Kingman, AZ Metro Area</x:v>
      </x:c>
      <x:c r="B200" s="6" t="str">
        <x:f>'Source'!$B$207</x:f>
        <x:v>29420</x:v>
      </x:c>
      <x:c r="C200" s="7" t="n">
        <x:f>'Source'!$D$207</x:f>
        <x:v>2024</x:v>
      </x:c>
      <x:c r="D200" s="8" t="n">
        <x:f>'Source'!$N$207</x:f>
        <x:v>29694</x:v>
      </x:c>
      <x:c r="E200" s="8" t="n">
        <x:f>'Source'!$AH$207</x:f>
        <x:v>3067</x:v>
      </x:c>
      <x:c r="F200" s="8" t="n">
        <x:f>D200-E200</x:f>
        <x:v>26627</x:v>
      </x:c>
      <x:c r="G200" s="8" t="n">
        <x:f>SUM('Source'!$Z$207,'Source'!$AB$207,'Source'!$AD$207,'Source'!$AF$207)</x:f>
        <x:v>12198</x:v>
      </x:c>
      <x:c r="H200" s="8" t="n">
        <x:f>'Source'!$AF$207</x:f>
        <x:v>4445</x:v>
      </x:c>
      <x:c r="I200" s="9" t="n">
        <x:f>IF(F200=0,"n.a.",G200/F200)</x:f>
        <x:v>0.45810643331956286</x:v>
      </x:c>
      <x:c r="J200" s="9" t="n">
        <x:f>IF(F200=0,"n.a.",H200/F200)</x:f>
        <x:v>0.1669358170278289</x:v>
      </x:c>
      <x:c r="K200" s="9" t="n">
        <x:f>IF(D200=0,"n.a.",E200/D200)</x:f>
        <x:v>0.10328685929817472</x:v>
      </x:c>
    </x:row>
    <x:row r="201" ht="22" customHeight="1">
      <x:c r="A201" s="6" t="str">
        <x:f>'Source'!$C$208</x:f>
        <x:v>Lakeland-Winter Haven, FL Metro Area</x:v>
      </x:c>
      <x:c r="B201" s="6" t="str">
        <x:f>'Source'!$B$208</x:f>
        <x:v>29460</x:v>
      </x:c>
      <x:c r="C201" s="7" t="n">
        <x:f>'Source'!$D$208</x:f>
        <x:v>2024</x:v>
      </x:c>
      <x:c r="D201" s="8" t="n">
        <x:f>'Source'!$N$208</x:f>
        <x:v>87285</x:v>
      </x:c>
      <x:c r="E201" s="8" t="n">
        <x:f>'Source'!$AH$208</x:f>
        <x:v>3623</x:v>
      </x:c>
      <x:c r="F201" s="8" t="n">
        <x:f>D201-E201</x:f>
        <x:v>83662</x:v>
      </x:c>
      <x:c r="G201" s="8" t="n">
        <x:f>SUM('Source'!$Z$208,'Source'!$AB$208,'Source'!$AD$208,'Source'!$AF$208)</x:f>
        <x:v>46127</x:v>
      </x:c>
      <x:c r="H201" s="8" t="n">
        <x:f>'Source'!$AF$208</x:f>
        <x:v>22667</x:v>
      </x:c>
      <x:c r="I201" s="9" t="n">
        <x:f>IF(F201=0,"n.a.",G201/F201)</x:f>
        <x:v>0.5513494776601086</x:v>
      </x:c>
      <x:c r="J201" s="9" t="n">
        <x:f>IF(F201=0,"n.a.",H201/F201)</x:f>
        <x:v>0.27093543066147113</x:v>
      </x:c>
      <x:c r="K201" s="9" t="n">
        <x:f>IF(D201=0,"n.a.",E201/D201)</x:f>
        <x:v>0.04150770464570087</x:v>
      </x:c>
    </x:row>
    <x:row r="202" ht="22" customHeight="1">
      <x:c r="A202" s="6" t="str">
        <x:f>'Source'!$C$209</x:f>
        <x:v>Lancaster, PA Metro Area</x:v>
      </x:c>
      <x:c r="B202" s="6" t="str">
        <x:f>'Source'!$B$209</x:f>
        <x:v>29540</x:v>
      </x:c>
      <x:c r="C202" s="7" t="n">
        <x:f>'Source'!$D$209</x:f>
        <x:v>2024</x:v>
      </x:c>
      <x:c r="D202" s="8" t="n">
        <x:f>'Source'!$N$209</x:f>
        <x:v>66062</x:v>
      </x:c>
      <x:c r="E202" s="8" t="n">
        <x:f>'Source'!$AH$209</x:f>
        <x:v>3526</x:v>
      </x:c>
      <x:c r="F202" s="8" t="n">
        <x:f>D202-E202</x:f>
        <x:v>62536</x:v>
      </x:c>
      <x:c r="G202" s="8" t="n">
        <x:f>SUM('Source'!$Z$209,'Source'!$AB$209,'Source'!$AD$209,'Source'!$AF$209)</x:f>
        <x:v>30235</x:v>
      </x:c>
      <x:c r="H202" s="8" t="n">
        <x:f>'Source'!$AF$209</x:f>
        <x:v>13545</x:v>
      </x:c>
      <x:c r="I202" s="9" t="n">
        <x:f>IF(F202=0,"n.a.",G202/F202)</x:f>
        <x:v>0.483481514647563</x:v>
      </x:c>
      <x:c r="J202" s="9" t="n">
        <x:f>IF(F202=0,"n.a.",H202/F202)</x:f>
        <x:v>0.21659524114110273</x:v>
      </x:c>
      <x:c r="K202" s="9" t="n">
        <x:f>IF(D202=0,"n.a.",E202/D202)</x:f>
        <x:v>0.05337410311525537</x:v>
      </x:c>
    </x:row>
    <x:row r="203" ht="22" customHeight="1">
      <x:c r="A203" s="6" t="str">
        <x:f>'Source'!$C$210</x:f>
        <x:v>Lansing-East Lansing, MI Metro Area</x:v>
      </x:c>
      <x:c r="B203" s="6" t="str">
        <x:f>'Source'!$B$210</x:f>
        <x:v>29620</x:v>
      </x:c>
      <x:c r="C203" s="7" t="n">
        <x:f>'Source'!$D$210</x:f>
        <x:v>2024</x:v>
      </x:c>
      <x:c r="D203" s="8" t="n">
        <x:f>'Source'!$N$210</x:f>
        <x:v>68083</x:v>
      </x:c>
      <x:c r="E203" s="8" t="n">
        <x:f>'Source'!$AH$210</x:f>
        <x:v>3505</x:v>
      </x:c>
      <x:c r="F203" s="8" t="n">
        <x:f>D203-E203</x:f>
        <x:v>64578</x:v>
      </x:c>
      <x:c r="G203" s="8" t="n">
        <x:f>SUM('Source'!$Z$210,'Source'!$AB$210,'Source'!$AD$210,'Source'!$AF$210)</x:f>
        <x:v>33809</x:v>
      </x:c>
      <x:c r="H203" s="8" t="n">
        <x:f>'Source'!$AF$210</x:f>
        <x:v>18487</x:v>
      </x:c>
      <x:c r="I203" s="9" t="n">
        <x:f>IF(F203=0,"n.a.",G203/F203)</x:f>
        <x:v>0.523537427606925</x:v>
      </x:c>
      <x:c r="J203" s="9" t="n">
        <x:f>IF(F203=0,"n.a.",H203/F203)</x:f>
        <x:v>0.28627396326922483</x:v>
      </x:c>
      <x:c r="K203" s="9" t="n">
        <x:f>IF(D203=0,"n.a.",E203/D203)</x:f>
        <x:v>0.05148128020210625</x:v>
      </x:c>
    </x:row>
    <x:row r="204" ht="22" customHeight="1">
      <x:c r="A204" s="6" t="str">
        <x:f>'Source'!$C$211</x:f>
        <x:v>Laredo, TX Metro Area</x:v>
      </x:c>
      <x:c r="B204" s="6" t="str">
        <x:f>'Source'!$B$211</x:f>
        <x:v>29700</x:v>
      </x:c>
      <x:c r="C204" s="7" t="n">
        <x:f>'Source'!$D$211</x:f>
        <x:v>2024</x:v>
      </x:c>
      <x:c r="D204" s="8" t="n">
        <x:f>'Source'!$N$211</x:f>
        <x:v>29300</x:v>
      </x:c>
      <x:c r="E204" s="8" t="n">
        <x:f>'Source'!$AH$211</x:f>
        <x:v>2627</x:v>
      </x:c>
      <x:c r="F204" s="8" t="n">
        <x:f>D204-E204</x:f>
        <x:v>26673</x:v>
      </x:c>
      <x:c r="G204" s="8" t="n">
        <x:f>SUM('Source'!$Z$211,'Source'!$AB$211,'Source'!$AD$211,'Source'!$AF$211)</x:f>
        <x:v>15941</x:v>
      </x:c>
      <x:c r="H204" s="8" t="n">
        <x:f>'Source'!$AF$211</x:f>
        <x:v>8436</x:v>
      </x:c>
      <x:c r="I204" s="9" t="n">
        <x:f>IF(F204=0,"n.a.",G204/F204)</x:f>
        <x:v>0.5976455591796949</x:v>
      </x:c>
      <x:c r="J204" s="9" t="n">
        <x:f>IF(F204=0,"n.a.",H204/F204)</x:f>
        <x:v>0.3162748847148802</x:v>
      </x:c>
      <x:c r="K204" s="9" t="n">
        <x:f>IF(D204=0,"n.a.",E204/D204)</x:f>
        <x:v>0.08965870307167235</x:v>
      </x:c>
    </x:row>
    <x:row r="205" ht="22" customHeight="1">
      <x:c r="A205" s="6" t="str">
        <x:f>'Source'!$C$212</x:f>
        <x:v>Las Cruces, NM Metro Area</x:v>
      </x:c>
      <x:c r="B205" s="6" t="str">
        <x:f>'Source'!$B$212</x:f>
        <x:v>29740</x:v>
      </x:c>
      <x:c r="C205" s="7" t="n">
        <x:f>'Source'!$D$212</x:f>
        <x:v>2024</x:v>
      </x:c>
      <x:c r="D205" s="8" t="n">
        <x:f>'Source'!$N$212</x:f>
        <x:v>28606</x:v>
      </x:c>
      <x:c r="E205" s="8" t="n">
        <x:f>'Source'!$AH$212</x:f>
        <x:v>2635</x:v>
      </x:c>
      <x:c r="F205" s="8" t="n">
        <x:f>D205-E205</x:f>
        <x:v>25971</x:v>
      </x:c>
      <x:c r="G205" s="8" t="n">
        <x:f>SUM('Source'!$Z$212,'Source'!$AB$212,'Source'!$AD$212,'Source'!$AF$212)</x:f>
        <x:v>12084</x:v>
      </x:c>
      <x:c r="H205" s="8" t="n">
        <x:f>'Source'!$AF$212</x:f>
        <x:v>6213</x:v>
      </x:c>
      <x:c r="I205" s="9" t="n">
        <x:f>IF(F205=0,"n.a.",G205/F205)</x:f>
        <x:v>0.46528820607600785</x:v>
      </x:c>
      <x:c r="J205" s="9" t="n">
        <x:f>IF(F205=0,"n.a.",H205/F205)</x:f>
        <x:v>0.23922837010511724</x:v>
      </x:c>
      <x:c r="K205" s="9" t="n">
        <x:f>IF(D205=0,"n.a.",E205/D205)</x:f>
        <x:v>0.09211354261343774</x:v>
      </x:c>
    </x:row>
    <x:row r="206" ht="22" customHeight="1">
      <x:c r="A206" s="6" t="str">
        <x:f>'Source'!$C$213</x:f>
        <x:v>Las Vegas-Henderson-North Las Vegas, NV Metro Area</x:v>
      </x:c>
      <x:c r="B206" s="6" t="str">
        <x:f>'Source'!$B$213</x:f>
        <x:v>29820</x:v>
      </x:c>
      <x:c r="C206" s="7" t="n">
        <x:f>'Source'!$D$213</x:f>
        <x:v>2024</x:v>
      </x:c>
      <x:c r="D206" s="8" t="n">
        <x:f>'Source'!$N$213</x:f>
        <x:v>375458</x:v>
      </x:c>
      <x:c r="E206" s="8" t="n">
        <x:f>'Source'!$AH$213</x:f>
        <x:v>16699</x:v>
      </x:c>
      <x:c r="F206" s="8" t="n">
        <x:f>D206-E206</x:f>
        <x:v>358759</x:v>
      </x:c>
      <x:c r="G206" s="8" t="n">
        <x:f>SUM('Source'!$Z$213,'Source'!$AB$213,'Source'!$AD$213,'Source'!$AF$213)</x:f>
        <x:v>214852</x:v>
      </x:c>
      <x:c r="H206" s="8" t="n">
        <x:f>'Source'!$AF$213</x:f>
        <x:v>111430</x:v>
      </x:c>
      <x:c r="I206" s="9" t="n">
        <x:f>IF(F206=0,"n.a.",G206/F206)</x:f>
        <x:v>0.5988755682784265</x:v>
      </x:c>
      <x:c r="J206" s="9" t="n">
        <x:f>IF(F206=0,"n.a.",H206/F206)</x:f>
        <x:v>0.3105984797593928</x:v>
      </x:c>
      <x:c r="K206" s="9" t="n">
        <x:f>IF(D206=0,"n.a.",E206/D206)</x:f>
        <x:v>0.04447634622248028</x:v>
      </x:c>
    </x:row>
    <x:row r="207" ht="22" customHeight="1">
      <x:c r="A207" s="6" t="str">
        <x:f>'Source'!$C$214</x:f>
        <x:v>Lawrence, KS Metro Area</x:v>
      </x:c>
      <x:c r="B207" s="6" t="str">
        <x:f>'Source'!$B$214</x:f>
        <x:v>29940</x:v>
      </x:c>
      <x:c r="C207" s="7" t="n">
        <x:f>'Source'!$D$214</x:f>
        <x:v>2024</x:v>
      </x:c>
      <x:c r="D207" s="8" t="n">
        <x:f>'Source'!$N$214</x:f>
        <x:v>25187</x:v>
      </x:c>
      <x:c r="E207" s="8" t="n">
        <x:f>'Source'!$AH$214</x:f>
        <x:v>674</x:v>
      </x:c>
      <x:c r="F207" s="8" t="n">
        <x:f>D207-E207</x:f>
        <x:v>24513</x:v>
      </x:c>
      <x:c r="G207" s="8" t="n">
        <x:f>SUM('Source'!$Z$214,'Source'!$AB$214,'Source'!$AD$214,'Source'!$AF$214)</x:f>
        <x:v>12231</x:v>
      </x:c>
      <x:c r="H207" s="8" t="n">
        <x:f>'Source'!$AF$214</x:f>
        <x:v>6729</x:v>
      </x:c>
      <x:c r="I207" s="9" t="n">
        <x:f>IF(F207=0,"n.a.",G207/F207)</x:f>
        <x:v>0.4989597356504712</x:v>
      </x:c>
      <x:c r="J207" s="9" t="n">
        <x:f>IF(F207=0,"n.a.",H207/F207)</x:f>
        <x:v>0.27450740423448783</x:v>
      </x:c>
      <x:c r="K207" s="9" t="n">
        <x:f>IF(D207=0,"n.a.",E207/D207)</x:f>
        <x:v>0.02675983642355183</x:v>
      </x:c>
    </x:row>
    <x:row r="208" ht="22" customHeight="1">
      <x:c r="A208" s="6" t="str">
        <x:f>'Source'!$C$215</x:f>
        <x:v>Lawton, OK Metro Area</x:v>
      </x:c>
      <x:c r="B208" s="6" t="str">
        <x:f>'Source'!$B$215</x:f>
        <x:v>30020</x:v>
      </x:c>
      <x:c r="C208" s="7" t="n">
        <x:f>'Source'!$D$215</x:f>
        <x:v>2024</x:v>
      </x:c>
      <x:c r="D208" s="8" t="n">
        <x:f>'Source'!$N$215</x:f>
        <x:v>19339</x:v>
      </x:c>
      <x:c r="E208" s="8" t="n">
        <x:f>'Source'!$AH$215</x:f>
        <x:v>1226</x:v>
      </x:c>
      <x:c r="F208" s="8" t="n">
        <x:f>D208-E208</x:f>
        <x:v>18113</x:v>
      </x:c>
      <x:c r="G208" s="8" t="n">
        <x:f>SUM('Source'!$Z$215,'Source'!$AB$215,'Source'!$AD$215,'Source'!$AF$215)</x:f>
        <x:v>7960</x:v>
      </x:c>
      <x:c r="H208" s="8" t="n">
        <x:f>'Source'!$AF$215</x:f>
        <x:v>4041</x:v>
      </x:c>
      <x:c r="I208" s="9" t="n">
        <x:f>IF(F208=0,"n.a.",G208/F208)</x:f>
        <x:v>0.43946336885110143</x:v>
      </x:c>
      <x:c r="J208" s="9" t="n">
        <x:f>IF(F208=0,"n.a.",H208/F208)</x:f>
        <x:v>0.22309943134765087</x:v>
      </x:c>
      <x:c r="K208" s="9" t="n">
        <x:f>IF(D208=0,"n.a.",E208/D208)</x:f>
        <x:v>0.06339521174828068</x:v>
      </x:c>
    </x:row>
    <x:row r="209" ht="22" customHeight="1">
      <x:c r="A209" s="6" t="str">
        <x:f>'Source'!$C$216</x:f>
        <x:v>Lebanon, PA Metro Area</x:v>
      </x:c>
      <x:c r="B209" s="6" t="str">
        <x:f>'Source'!$B$216</x:f>
        <x:v>30140</x:v>
      </x:c>
      <x:c r="C209" s="7" t="n">
        <x:f>'Source'!$D$216</x:f>
        <x:v>2024</x:v>
      </x:c>
      <x:c r="D209" s="8" t="n">
        <x:f>'Source'!$N$216</x:f>
        <x:v>18177</x:v>
      </x:c>
      <x:c r="E209" s="8" t="n">
        <x:f>'Source'!$AH$216</x:f>
        <x:v>639</x:v>
      </x:c>
      <x:c r="F209" s="8" t="n">
        <x:f>D209-E209</x:f>
        <x:v>17538</x:v>
      </x:c>
      <x:c r="G209" s="8" t="n">
        <x:f>SUM('Source'!$Z$216,'Source'!$AB$216,'Source'!$AD$216,'Source'!$AF$216)</x:f>
        <x:v>9227</x:v>
      </x:c>
      <x:c r="H209" s="8" t="n">
        <x:f>'Source'!$AF$216</x:f>
        <x:v>3512</x:v>
      </x:c>
      <x:c r="I209" s="9" t="n">
        <x:f>IF(F209=0,"n.a.",G209/F209)</x:f>
        <x:v>0.526114722317254</x:v>
      </x:c>
      <x:c r="J209" s="9" t="n">
        <x:f>IF(F209=0,"n.a.",H209/F209)</x:f>
        <x:v>0.2002508837951876</x:v>
      </x:c>
      <x:c r="K209" s="9" t="n">
        <x:f>IF(D209=0,"n.a.",E209/D209)</x:f>
        <x:v>0.03515431589371183</x:v>
      </x:c>
    </x:row>
    <x:row r="210" ht="22" customHeight="1">
      <x:c r="A210" s="6" t="str">
        <x:f>'Source'!$C$217</x:f>
        <x:v>Lewiston, ID-WA Metro Area</x:v>
      </x:c>
      <x:c r="B210" s="6" t="str">
        <x:f>'Source'!$B$217</x:f>
        <x:v>30300</x:v>
      </x:c>
      <x:c r="C210" s="7" t="n">
        <x:f>'Source'!$D$217</x:f>
        <x:v>2024</x:v>
      </x:c>
      <x:c r="D210" s="8" t="n">
        <x:f>'Source'!$N$217</x:f>
        <x:v>8033</x:v>
      </x:c>
      <x:c r="E210" s="8" t="n">
        <x:f>'Source'!$AH$217</x:f>
        <x:v>730</x:v>
      </x:c>
      <x:c r="F210" s="8" t="n">
        <x:f>D210-E210</x:f>
        <x:v>7303</x:v>
      </x:c>
      <x:c r="G210" s="8" t="n">
        <x:f>SUM('Source'!$Z$217,'Source'!$AB$217,'Source'!$AD$217,'Source'!$AF$217)</x:f>
        <x:v>2349</x:v>
      </x:c>
      <x:c r="H210" s="8" t="n">
        <x:f>'Source'!$AF$217</x:f>
        <x:v>1041</x:v>
      </x:c>
      <x:c r="I210" s="9" t="n">
        <x:f>IF(F210=0,"n.a.",G210/F210)</x:f>
        <x:v>0.32164863754621387</x:v>
      </x:c>
      <x:c r="J210" s="9" t="n">
        <x:f>IF(F210=0,"n.a.",H210/F210)</x:f>
        <x:v>0.14254415993427358</x:v>
      </x:c>
      <x:c r="K210" s="9" t="n">
        <x:f>IF(D210=0,"n.a.",E210/D210)</x:f>
        <x:v>0.09087514004730486</x:v>
      </x:c>
    </x:row>
    <x:row r="211" ht="22" customHeight="1">
      <x:c r="A211" s="6" t="str">
        <x:f>'Source'!$C$218</x:f>
        <x:v>Lewiston-Auburn, ME Metro Area</x:v>
      </x:c>
      <x:c r="B211" s="6" t="str">
        <x:f>'Source'!$B$218</x:f>
        <x:v>30340</x:v>
      </x:c>
      <x:c r="C211" s="7" t="n">
        <x:f>'Source'!$D$218</x:f>
        <x:v>2024</x:v>
      </x:c>
      <x:c r="D211" s="8" t="n">
        <x:f>'Source'!$N$218</x:f>
        <x:v>15713</x:v>
      </x:c>
      <x:c r="E211" s="8" t="n">
        <x:f>'Source'!$AH$218</x:f>
        <x:v>1061</x:v>
      </x:c>
      <x:c r="F211" s="8" t="n">
        <x:f>D211-E211</x:f>
        <x:v>14652</x:v>
      </x:c>
      <x:c r="G211" s="8" t="n">
        <x:f>SUM('Source'!$Z$218,'Source'!$AB$218,'Source'!$AD$218,'Source'!$AF$218)</x:f>
        <x:v>7714</x:v>
      </x:c>
      <x:c r="H211" s="8" t="n">
        <x:f>'Source'!$AF$218</x:f>
        <x:v>3895</x:v>
      </x:c>
      <x:c r="I211" s="9" t="n">
        <x:f>IF(F211=0,"n.a.",G211/F211)</x:f>
        <x:v>0.5264810264810265</x:v>
      </x:c>
      <x:c r="J211" s="9" t="n">
        <x:f>IF(F211=0,"n.a.",H211/F211)</x:f>
        <x:v>0.26583401583401584</x:v>
      </x:c>
      <x:c r="K211" s="9" t="n">
        <x:f>IF(D211=0,"n.a.",E211/D211)</x:f>
        <x:v>0.06752370648507605</x:v>
      </x:c>
    </x:row>
    <x:row r="212" ht="22" customHeight="1">
      <x:c r="A212" s="6" t="str">
        <x:f>'Source'!$C$219</x:f>
        <x:v>Lexington Park, MD Metro Area</x:v>
      </x:c>
      <x:c r="B212" s="6" t="str">
        <x:f>'Source'!$B$219</x:f>
        <x:v>30500</x:v>
      </x:c>
      <x:c r="C212" s="7" t="n">
        <x:f>'Source'!$D$219</x:f>
        <x:v>2024</x:v>
      </x:c>
      <x:c r="D212" s="8" t="n">
        <x:f>'Source'!$N$219</x:f>
        <x:v>14695</x:v>
      </x:c>
      <x:c r="E212" s="8" t="n">
        <x:f>'Source'!$AH$219</x:f>
        <x:v>1427</x:v>
      </x:c>
      <x:c r="F212" s="8" t="n">
        <x:f>D212-E212</x:f>
        <x:v>13268</x:v>
      </x:c>
      <x:c r="G212" s="8" t="n">
        <x:f>SUM('Source'!$Z$219,'Source'!$AB$219,'Source'!$AD$219,'Source'!$AF$219)</x:f>
        <x:v>5363</x:v>
      </x:c>
      <x:c r="H212" s="8" t="n">
        <x:f>'Source'!$AF$219</x:f>
        <x:v>2831</x:v>
      </x:c>
      <x:c r="I212" s="9" t="n">
        <x:f>IF(F212=0,"n.a.",G212/F212)</x:f>
        <x:v>0.40420560747663553</x:v>
      </x:c>
      <x:c r="J212" s="9" t="n">
        <x:f>IF(F212=0,"n.a.",H212/F212)</x:f>
        <x:v>0.21337051552607778</x:v>
      </x:c>
      <x:c r="K212" s="9" t="n">
        <x:f>IF(D212=0,"n.a.",E212/D212)</x:f>
        <x:v>0.09710785981626403</x:v>
      </x:c>
    </x:row>
    <x:row r="213" ht="22" customHeight="1">
      <x:c r="A213" s="6" t="str">
        <x:f>'Source'!$C$220</x:f>
        <x:v>Lexington-Fayette, KY Metro Area</x:v>
      </x:c>
      <x:c r="B213" s="6" t="str">
        <x:f>'Source'!$B$220</x:f>
        <x:v>30460</x:v>
      </x:c>
      <x:c r="C213" s="7" t="n">
        <x:f>'Source'!$D$220</x:f>
        <x:v>2024</x:v>
      </x:c>
      <x:c r="D213" s="8" t="n">
        <x:f>'Source'!$N$220</x:f>
        <x:v>93704</x:v>
      </x:c>
      <x:c r="E213" s="8" t="n">
        <x:f>'Source'!$AH$220</x:f>
        <x:v>5024</x:v>
      </x:c>
      <x:c r="F213" s="8" t="n">
        <x:f>D213-E213</x:f>
        <x:v>88680</x:v>
      </x:c>
      <x:c r="G213" s="8" t="n">
        <x:f>SUM('Source'!$Z$220,'Source'!$AB$220,'Source'!$AD$220,'Source'!$AF$220)</x:f>
        <x:v>41832</x:v>
      </x:c>
      <x:c r="H213" s="8" t="n">
        <x:f>'Source'!$AF$220</x:f>
        <x:v>22675</x:v>
      </x:c>
      <x:c r="I213" s="9" t="n">
        <x:f>IF(F213=0,"n.a.",G213/F213)</x:f>
        <x:v>0.47171853856562923</x:v>
      </x:c>
      <x:c r="J213" s="9" t="n">
        <x:f>IF(F213=0,"n.a.",H213/F213)</x:f>
        <x:v>0.25569463238610735</x:v>
      </x:c>
      <x:c r="K213" s="9" t="n">
        <x:f>IF(D213=0,"n.a.",E213/D213)</x:f>
        <x:v>0.053615640741056944</x:v>
      </x:c>
    </x:row>
    <x:row r="214" ht="22" customHeight="1">
      <x:c r="A214" s="6" t="str">
        <x:f>'Source'!$C$221</x:f>
        <x:v>Lima, OH Metro Area</x:v>
      </x:c>
      <x:c r="B214" s="6" t="str">
        <x:f>'Source'!$B$221</x:f>
        <x:v>30620</x:v>
      </x:c>
      <x:c r="C214" s="7" t="n">
        <x:f>'Source'!$D$221</x:f>
        <x:v>2024</x:v>
      </x:c>
      <x:c r="D214" s="8" t="n">
        <x:f>'Source'!$N$221</x:f>
        <x:v>13382</x:v>
      </x:c>
      <x:c r="E214" s="8" t="n">
        <x:f>'Source'!$AH$221</x:f>
        <x:v>476</x:v>
      </x:c>
      <x:c r="F214" s="8" t="n">
        <x:f>D214-E214</x:f>
        <x:v>12906</x:v>
      </x:c>
      <x:c r="G214" s="8" t="n">
        <x:f>SUM('Source'!$Z$221,'Source'!$AB$221,'Source'!$AD$221,'Source'!$AF$221)</x:f>
        <x:v>6082</x:v>
      </x:c>
      <x:c r="H214" s="8" t="n">
        <x:f>'Source'!$AF$221</x:f>
        <x:v>3722</x:v>
      </x:c>
      <x:c r="I214" s="9" t="n">
        <x:f>IF(F214=0,"n.a.",G214/F214)</x:f>
        <x:v>0.47125368045870136</x:v>
      </x:c>
      <x:c r="J214" s="9" t="n">
        <x:f>IF(F214=0,"n.a.",H214/F214)</x:f>
        <x:v>0.2883929955059662</x:v>
      </x:c>
      <x:c r="K214" s="9" t="n">
        <x:f>IF(D214=0,"n.a.",E214/D214)</x:f>
        <x:v>0.03557016888357495</x:v>
      </x:c>
    </x:row>
    <x:row r="215" ht="22" customHeight="1">
      <x:c r="A215" s="6" t="str">
        <x:f>'Source'!$C$222</x:f>
        <x:v>Lincoln, NE Metro Area</x:v>
      </x:c>
      <x:c r="B215" s="6" t="str">
        <x:f>'Source'!$B$222</x:f>
        <x:v>30700</x:v>
      </x:c>
      <x:c r="C215" s="7" t="n">
        <x:f>'Source'!$D$222</x:f>
        <x:v>2024</x:v>
      </x:c>
      <x:c r="D215" s="8" t="n">
        <x:f>'Source'!$N$222</x:f>
        <x:v>57547</x:v>
      </x:c>
      <x:c r="E215" s="8" t="n">
        <x:f>'Source'!$AH$222</x:f>
        <x:v>2585</x:v>
      </x:c>
      <x:c r="F215" s="8" t="n">
        <x:f>D215-E215</x:f>
        <x:v>54962</x:v>
      </x:c>
      <x:c r="G215" s="8" t="n">
        <x:f>SUM('Source'!$Z$222,'Source'!$AB$222,'Source'!$AD$222,'Source'!$AF$222)</x:f>
        <x:v>27247</x:v>
      </x:c>
      <x:c r="H215" s="8" t="n">
        <x:f>'Source'!$AF$222</x:f>
        <x:v>12140</x:v>
      </x:c>
      <x:c r="I215" s="9" t="n">
        <x:f>IF(F215=0,"n.a.",G215/F215)</x:f>
        <x:v>0.49574251300898803</x:v>
      </x:c>
      <x:c r="J215" s="9" t="n">
        <x:f>IF(F215=0,"n.a.",H215/F215)</x:f>
        <x:v>0.22087988064480915</x:v>
      </x:c>
      <x:c r="K215" s="9" t="n">
        <x:f>IF(D215=0,"n.a.",E215/D215)</x:f>
        <x:v>0.04491980468139086</x:v>
      </x:c>
    </x:row>
    <x:row r="216" ht="22" customHeight="1">
      <x:c r="A216" s="6" t="str">
        <x:f>'Source'!$C$223</x:f>
        <x:v>Little Rock-North Little Rock-Conway, AR Metro Area</x:v>
      </x:c>
      <x:c r="B216" s="6" t="str">
        <x:f>'Source'!$B$223</x:f>
        <x:v>30780</x:v>
      </x:c>
      <x:c r="C216" s="7" t="n">
        <x:f>'Source'!$D$223</x:f>
        <x:v>2024</x:v>
      </x:c>
      <x:c r="D216" s="8" t="n">
        <x:f>'Source'!$N$223</x:f>
        <x:v>115911</x:v>
      </x:c>
      <x:c r="E216" s="8" t="n">
        <x:f>'Source'!$AH$223</x:f>
        <x:v>9376</x:v>
      </x:c>
      <x:c r="F216" s="8" t="n">
        <x:f>D216-E216</x:f>
        <x:v>106535</x:v>
      </x:c>
      <x:c r="G216" s="8" t="n">
        <x:f>SUM('Source'!$Z$223,'Source'!$AB$223,'Source'!$AD$223,'Source'!$AF$223)</x:f>
        <x:v>49220</x:v>
      </x:c>
      <x:c r="H216" s="8" t="n">
        <x:f>'Source'!$AF$223</x:f>
        <x:v>21585</x:v>
      </x:c>
      <x:c r="I216" s="9" t="n">
        <x:f>IF(F216=0,"n.a.",G216/F216)</x:f>
        <x:v>0.4620077908668513</x:v>
      </x:c>
      <x:c r="J216" s="9" t="n">
        <x:f>IF(F216=0,"n.a.",H216/F216)</x:f>
        <x:v>0.2026094710658469</x:v>
      </x:c>
      <x:c r="K216" s="9" t="n">
        <x:f>IF(D216=0,"n.a.",E216/D216)</x:f>
        <x:v>0.08088964809207064</x:v>
      </x:c>
    </x:row>
    <x:row r="217" ht="22" customHeight="1">
      <x:c r="A217" s="6" t="str">
        <x:f>'Source'!$C$224</x:f>
        <x:v>Logan, UT-ID Metro Area</x:v>
      </x:c>
      <x:c r="B217" s="6" t="str">
        <x:f>'Source'!$B$224</x:f>
        <x:v>30860</x:v>
      </x:c>
      <x:c r="C217" s="7" t="n">
        <x:f>'Source'!$D$224</x:f>
        <x:v>2024</x:v>
      </x:c>
      <x:c r="D217" s="8" t="n">
        <x:f>'Source'!$N$224</x:f>
        <x:v>17255</x:v>
      </x:c>
      <x:c r="E217" s="8" t="n">
        <x:f>'Source'!$AH$224</x:f>
        <x:v>489</x:v>
      </x:c>
      <x:c r="F217" s="8" t="n">
        <x:f>D217-E217</x:f>
        <x:v>16766</x:v>
      </x:c>
      <x:c r="G217" s="8" t="n">
        <x:f>SUM('Source'!$Z$224,'Source'!$AB$224,'Source'!$AD$224,'Source'!$AF$224)</x:f>
        <x:v>8486</x:v>
      </x:c>
      <x:c r="H217" s="8" t="n">
        <x:f>'Source'!$AF$224</x:f>
        <x:v>3556</x:v>
      </x:c>
      <x:c r="I217" s="9" t="n">
        <x:f>IF(F217=0,"n.a.",G217/F217)</x:f>
        <x:v>0.5061433854228796</x:v>
      </x:c>
      <x:c r="J217" s="9" t="n">
        <x:f>IF(F217=0,"n.a.",H217/F217)</x:f>
        <x:v>0.21209590838601933</x:v>
      </x:c>
      <x:c r="K217" s="9" t="n">
        <x:f>IF(D217=0,"n.a.",E217/D217)</x:f>
        <x:v>0.028339611706751665</x:v>
      </x:c>
    </x:row>
    <x:row r="218" ht="22" customHeight="1">
      <x:c r="A218" s="6" t="str">
        <x:f>'Source'!$C$225</x:f>
        <x:v>Longview, TX Metro Area</x:v>
      </x:c>
      <x:c r="B218" s="6" t="str">
        <x:f>'Source'!$B$225</x:f>
        <x:v>30980</x:v>
      </x:c>
      <x:c r="C218" s="7" t="n">
        <x:f>'Source'!$D$225</x:f>
        <x:v>2024</x:v>
      </x:c>
      <x:c r="D218" s="8" t="n">
        <x:f>'Source'!$N$225</x:f>
        <x:v>32135</x:v>
      </x:c>
      <x:c r="E218" s="8" t="n">
        <x:f>'Source'!$AH$225</x:f>
        <x:v>3677</x:v>
      </x:c>
      <x:c r="F218" s="8" t="n">
        <x:f>D218-E218</x:f>
        <x:v>28458</x:v>
      </x:c>
      <x:c r="G218" s="8" t="n">
        <x:f>SUM('Source'!$Z$225,'Source'!$AB$225,'Source'!$AD$225,'Source'!$AF$225)</x:f>
        <x:v>14402</x:v>
      </x:c>
      <x:c r="H218" s="8" t="n">
        <x:f>'Source'!$AF$225</x:f>
        <x:v>6593</x:v>
      </x:c>
      <x:c r="I218" s="9" t="n">
        <x:f>IF(F218=0,"n.a.",G218/F218)</x:f>
        <x:v>0.5060791341626256</x:v>
      </x:c>
      <x:c r="J218" s="9" t="n">
        <x:f>IF(F218=0,"n.a.",H218/F218)</x:f>
        <x:v>0.23167474875254762</x:v>
      </x:c>
      <x:c r="K218" s="9" t="n">
        <x:f>IF(D218=0,"n.a.",E218/D218)</x:f>
        <x:v>0.11442352575073907</x:v>
      </x:c>
    </x:row>
    <x:row r="219" ht="22" customHeight="1">
      <x:c r="A219" s="6" t="str">
        <x:f>'Source'!$C$226</x:f>
        <x:v>Longview-Kelso, WA Metro Area</x:v>
      </x:c>
      <x:c r="B219" s="6" t="str">
        <x:f>'Source'!$B$226</x:f>
        <x:v>31020</x:v>
      </x:c>
      <x:c r="C219" s="7" t="n">
        <x:f>'Source'!$D$226</x:f>
        <x:v>2024</x:v>
      </x:c>
      <x:c r="D219" s="8" t="n">
        <x:f>'Source'!$N$226</x:f>
        <x:v>12200</x:v>
      </x:c>
      <x:c r="E219" s="8" t="n">
        <x:f>'Source'!$AH$226</x:f>
        <x:v>760</x:v>
      </x:c>
      <x:c r="F219" s="8" t="n">
        <x:f>D219-E219</x:f>
        <x:v>11440</x:v>
      </x:c>
      <x:c r="G219" s="8" t="n">
        <x:f>SUM('Source'!$Z$226,'Source'!$AB$226,'Source'!$AD$226,'Source'!$AF$226)</x:f>
        <x:v>5905</x:v>
      </x:c>
      <x:c r="H219" s="8" t="n">
        <x:f>'Source'!$AF$226</x:f>
        <x:v>3281</x:v>
      </x:c>
      <x:c r="I219" s="9" t="n">
        <x:f>IF(F219=0,"n.a.",G219/F219)</x:f>
        <x:v>0.5161713286713286</x:v>
      </x:c>
      <x:c r="J219" s="9" t="n">
        <x:f>IF(F219=0,"n.a.",H219/F219)</x:f>
        <x:v>0.2868006993006993</x:v>
      </x:c>
      <x:c r="K219" s="9" t="n">
        <x:f>IF(D219=0,"n.a.",E219/D219)</x:f>
        <x:v>0.06229508196721312</x:v>
      </x:c>
    </x:row>
    <x:row r="220" ht="22" customHeight="1">
      <x:c r="A220" s="6" t="str">
        <x:f>'Source'!$C$227</x:f>
        <x:v>Los Angeles-Long Beach-Anaheim, CA Metro Area</x:v>
      </x:c>
      <x:c r="B220" s="6" t="str">
        <x:f>'Source'!$B$227</x:f>
        <x:v>31080</x:v>
      </x:c>
      <x:c r="C220" s="7" t="n">
        <x:f>'Source'!$D$227</x:f>
        <x:v>2024</x:v>
      </x:c>
      <x:c r="D220" s="8" t="n">
        <x:f>'Source'!$N$227</x:f>
        <x:v>2373302</x:v>
      </x:c>
      <x:c r="E220" s="8" t="n">
        <x:f>'Source'!$AH$227</x:f>
        <x:v>108540</x:v>
      </x:c>
      <x:c r="F220" s="8" t="n">
        <x:f>D220-E220</x:f>
        <x:v>2264762</x:v>
      </x:c>
      <x:c r="G220" s="8" t="n">
        <x:f>SUM('Source'!$Z$227,'Source'!$AB$227,'Source'!$AD$227,'Source'!$AF$227)</x:f>
        <x:v>1297179</x:v>
      </x:c>
      <x:c r="H220" s="8" t="n">
        <x:f>'Source'!$AF$227</x:f>
        <x:v>677937</x:v>
      </x:c>
      <x:c r="I220" s="9" t="n">
        <x:f>IF(F220=0,"n.a.",G220/F220)</x:f>
        <x:v>0.5727661449635767</x:v>
      </x:c>
      <x:c r="J220" s="9" t="n">
        <x:f>IF(F220=0,"n.a.",H220/F220)</x:f>
        <x:v>0.2993413877484698</x:v>
      </x:c>
      <x:c r="K220" s="9" t="n">
        <x:f>IF(D220=0,"n.a.",E220/D220)</x:f>
        <x:v>0.0457337498556863</x:v>
      </x:c>
    </x:row>
    <x:row r="221" ht="22" customHeight="1">
      <x:c r="A221" s="6" t="str">
        <x:f>'Source'!$C$228</x:f>
        <x:v>Louisville/Jefferson County, KY-IN Metro Area</x:v>
      </x:c>
      <x:c r="B221" s="6" t="str">
        <x:f>'Source'!$B$228</x:f>
        <x:v>31140</x:v>
      </x:c>
      <x:c r="C221" s="7" t="n">
        <x:f>'Source'!$D$228</x:f>
        <x:v>2024</x:v>
      </x:c>
      <x:c r="D221" s="8" t="n">
        <x:f>'Source'!$N$228</x:f>
        <x:v>177423</x:v>
      </x:c>
      <x:c r="E221" s="8" t="n">
        <x:f>'Source'!$AH$228</x:f>
        <x:v>14197</x:v>
      </x:c>
      <x:c r="F221" s="8" t="n">
        <x:f>D221-E221</x:f>
        <x:v>163226</x:v>
      </x:c>
      <x:c r="G221" s="8" t="n">
        <x:f>SUM('Source'!$Z$228,'Source'!$AB$228,'Source'!$AD$228,'Source'!$AF$228)</x:f>
        <x:v>78425</x:v>
      </x:c>
      <x:c r="H221" s="8" t="n">
        <x:f>'Source'!$AF$228</x:f>
        <x:v>42424</x:v>
      </x:c>
      <x:c r="I221" s="9" t="n">
        <x:f>IF(F221=0,"n.a.",G221/F221)</x:f>
        <x:v>0.48046879786308555</x:v>
      </x:c>
      <x:c r="J221" s="9" t="n">
        <x:f>IF(F221=0,"n.a.",H221/F221)</x:f>
        <x:v>0.25990957322975505</x:v>
      </x:c>
      <x:c r="K221" s="9" t="n">
        <x:f>IF(D221=0,"n.a.",E221/D221)</x:f>
        <x:v>0.0800178105431652</x:v>
      </x:c>
    </x:row>
    <x:row r="222" ht="22" customHeight="1">
      <x:c r="A222" s="6" t="str">
        <x:f>'Source'!$C$229</x:f>
        <x:v>Lubbock, TX Metro Area</x:v>
      </x:c>
      <x:c r="B222" s="6" t="str">
        <x:f>'Source'!$B$229</x:f>
        <x:v>31180</x:v>
      </x:c>
      <x:c r="C222" s="7" t="n">
        <x:f>'Source'!$D$229</x:f>
        <x:v>2024</x:v>
      </x:c>
      <x:c r="D222" s="8" t="n">
        <x:f>'Source'!$N$229</x:f>
        <x:v>61077</x:v>
      </x:c>
      <x:c r="E222" s="8" t="n">
        <x:f>'Source'!$AH$229</x:f>
        <x:v>4144</x:v>
      </x:c>
      <x:c r="F222" s="8" t="n">
        <x:f>D222-E222</x:f>
        <x:v>56933</x:v>
      </x:c>
      <x:c r="G222" s="8" t="n">
        <x:f>SUM('Source'!$Z$229,'Source'!$AB$229,'Source'!$AD$229,'Source'!$AF$229)</x:f>
        <x:v>30419</x:v>
      </x:c>
      <x:c r="H222" s="8" t="n">
        <x:f>'Source'!$AF$229</x:f>
        <x:v>17570</x:v>
      </x:c>
      <x:c r="I222" s="9" t="n">
        <x:f>IF(F222=0,"n.a.",G222/F222)</x:f>
        <x:v>0.5342946972757452</x:v>
      </x:c>
      <x:c r="J222" s="9" t="n">
        <x:f>IF(F222=0,"n.a.",H222/F222)</x:f>
        <x:v>0.3086083642175891</x:v>
      </x:c>
      <x:c r="K222" s="9" t="n">
        <x:f>IF(D222=0,"n.a.",E222/D222)</x:f>
        <x:v>0.06784878104687525</x:v>
      </x:c>
    </x:row>
    <x:row r="223" ht="22" customHeight="1">
      <x:c r="A223" s="6" t="str">
        <x:f>'Source'!$C$230</x:f>
        <x:v>Lynchburg, VA Metro Area</x:v>
      </x:c>
      <x:c r="B223" s="6" t="str">
        <x:f>'Source'!$B$230</x:f>
        <x:v>31340</x:v>
      </x:c>
      <x:c r="C223" s="7" t="n">
        <x:f>'Source'!$D$230</x:f>
        <x:v>2024</x:v>
      </x:c>
      <x:c r="D223" s="8" t="n">
        <x:f>'Source'!$N$230</x:f>
        <x:v>30088</x:v>
      </x:c>
      <x:c r="E223" s="8" t="n">
        <x:f>'Source'!$AH$230</x:f>
        <x:v>2849</x:v>
      </x:c>
      <x:c r="F223" s="8" t="n">
        <x:f>D223-E223</x:f>
        <x:v>27239</x:v>
      </x:c>
      <x:c r="G223" s="8" t="n">
        <x:f>SUM('Source'!$Z$230,'Source'!$AB$230,'Source'!$AD$230,'Source'!$AF$230)</x:f>
        <x:v>13823</x:v>
      </x:c>
      <x:c r="H223" s="8" t="n">
        <x:f>'Source'!$AF$230</x:f>
        <x:v>6650</x:v>
      </x:c>
      <x:c r="I223" s="9" t="n">
        <x:f>IF(F223=0,"n.a.",G223/F223)</x:f>
        <x:v>0.5074709056866992</x:v>
      </x:c>
      <x:c r="J223" s="9" t="n">
        <x:f>IF(F223=0,"n.a.",H223/F223)</x:f>
        <x:v>0.24413524725577299</x:v>
      </x:c>
      <x:c r="K223" s="9" t="n">
        <x:f>IF(D223=0,"n.a.",E223/D223)</x:f>
        <x:v>0.09468891252326508</x:v>
      </x:c>
    </x:row>
    <x:row r="224" ht="22" customHeight="1">
      <x:c r="A224" s="6" t="str">
        <x:f>'Source'!$C$231</x:f>
        <x:v>Macon-Bibb County, GA Metro Area</x:v>
      </x:c>
      <x:c r="B224" s="6" t="str">
        <x:f>'Source'!$B$231</x:f>
        <x:v>31420</x:v>
      </x:c>
      <x:c r="C224" s="7" t="n">
        <x:f>'Source'!$D$231</x:f>
        <x:v>2024</x:v>
      </x:c>
      <x:c r="D224" s="8" t="n">
        <x:f>'Source'!$N$231</x:f>
        <x:v>33615</x:v>
      </x:c>
      <x:c r="E224" s="8" t="n">
        <x:f>'Source'!$AH$231</x:f>
        <x:v>4278</x:v>
      </x:c>
      <x:c r="F224" s="8" t="n">
        <x:f>D224-E224</x:f>
        <x:v>29337</x:v>
      </x:c>
      <x:c r="G224" s="8" t="n">
        <x:f>SUM('Source'!$Z$231,'Source'!$AB$231,'Source'!$AD$231,'Source'!$AF$231)</x:f>
        <x:v>15552</x:v>
      </x:c>
      <x:c r="H224" s="8" t="n">
        <x:f>'Source'!$AF$231</x:f>
        <x:v>9095</x:v>
      </x:c>
      <x:c r="I224" s="9" t="n">
        <x:f>IF(F224=0,"n.a.",G224/F224)</x:f>
        <x:v>0.530115553737601</x:v>
      </x:c>
      <x:c r="J224" s="9" t="n">
        <x:f>IF(F224=0,"n.a.",H224/F224)</x:f>
        <x:v>0.3100180659235777</x:v>
      </x:c>
      <x:c r="K224" s="9" t="n">
        <x:f>IF(D224=0,"n.a.",E224/D224)</x:f>
        <x:v>0.12726461401160197</x:v>
      </x:c>
    </x:row>
    <x:row r="225" ht="22" customHeight="1">
      <x:c r="A225" s="6" t="str">
        <x:f>'Source'!$C$232</x:f>
        <x:v>Madison, WI Metro Area</x:v>
      </x:c>
      <x:c r="B225" s="6" t="str">
        <x:f>'Source'!$B$232</x:f>
        <x:v>31540</x:v>
      </x:c>
      <x:c r="C225" s="7" t="n">
        <x:f>'Source'!$D$232</x:f>
        <x:v>2024</x:v>
      </x:c>
      <x:c r="D225" s="8" t="n">
        <x:f>'Source'!$N$232</x:f>
        <x:v>129155</x:v>
      </x:c>
      <x:c r="E225" s="8" t="n">
        <x:f>'Source'!$AH$232</x:f>
        <x:v>3619</x:v>
      </x:c>
      <x:c r="F225" s="8" t="n">
        <x:f>D225-E225</x:f>
        <x:v>125536</x:v>
      </x:c>
      <x:c r="G225" s="8" t="n">
        <x:f>SUM('Source'!$Z$232,'Source'!$AB$232,'Source'!$AD$232,'Source'!$AF$232)</x:f>
        <x:v>60328</x:v>
      </x:c>
      <x:c r="H225" s="8" t="n">
        <x:f>'Source'!$AF$232</x:f>
        <x:v>26723</x:v>
      </x:c>
      <x:c r="I225" s="9" t="n">
        <x:f>IF(F225=0,"n.a.",G225/F225)</x:f>
        <x:v>0.48056334437930154</x:v>
      </x:c>
      <x:c r="J225" s="9" t="n">
        <x:f>IF(F225=0,"n.a.",H225/F225)</x:f>
        <x:v>0.21287120825898548</x:v>
      </x:c>
      <x:c r="K225" s="9" t="n">
        <x:f>IF(D225=0,"n.a.",E225/D225)</x:f>
        <x:v>0.028020595408617552</x:v>
      </x:c>
    </x:row>
    <x:row r="226" ht="22" customHeight="1">
      <x:c r="A226" s="6" t="str">
        <x:f>'Source'!$C$233</x:f>
        <x:v>Manchester-Nashua, NH Metro Area</x:v>
      </x:c>
      <x:c r="B226" s="6" t="str">
        <x:f>'Source'!$B$233</x:f>
        <x:v>31700</x:v>
      </x:c>
      <x:c r="C226" s="7" t="n">
        <x:f>'Source'!$D$233</x:f>
        <x:v>2024</x:v>
      </x:c>
      <x:c r="D226" s="8" t="n">
        <x:f>'Source'!$N$233</x:f>
        <x:v>56556</x:v>
      </x:c>
      <x:c r="E226" s="8" t="n">
        <x:f>'Source'!$AH$233</x:f>
        <x:v>2345</x:v>
      </x:c>
      <x:c r="F226" s="8" t="n">
        <x:f>D226-E226</x:f>
        <x:v>54211</x:v>
      </x:c>
      <x:c r="G226" s="8" t="n">
        <x:f>SUM('Source'!$Z$233,'Source'!$AB$233,'Source'!$AD$233,'Source'!$AF$233)</x:f>
        <x:v>26164</x:v>
      </x:c>
      <x:c r="H226" s="8" t="n">
        <x:f>'Source'!$AF$233</x:f>
        <x:v>13255</x:v>
      </x:c>
      <x:c r="I226" s="9" t="n">
        <x:f>IF(F226=0,"n.a.",G226/F226)</x:f>
        <x:v>0.48263267602516097</x:v>
      </x:c>
      <x:c r="J226" s="9" t="n">
        <x:f>IF(F226=0,"n.a.",H226/F226)</x:f>
        <x:v>0.24450757226393166</x:v>
      </x:c>
      <x:c r="K226" s="9" t="n">
        <x:f>IF(D226=0,"n.a.",E226/D226)</x:f>
        <x:v>0.04146332838248815</x:v>
      </x:c>
    </x:row>
    <x:row r="227" ht="22" customHeight="1">
      <x:c r="A227" s="6" t="str">
        <x:f>'Source'!$C$234</x:f>
        <x:v>Manhattan, KS Metro Area</x:v>
      </x:c>
      <x:c r="B227" s="6" t="str">
        <x:f>'Source'!$B$234</x:f>
        <x:v>31740</x:v>
      </x:c>
      <x:c r="C227" s="7" t="n">
        <x:f>'Source'!$D$234</x:f>
        <x:v>2024</x:v>
      </x:c>
      <x:c r="D227" s="8" t="n">
        <x:f>'Source'!$N$234</x:f>
        <x:v>24499</x:v>
      </x:c>
      <x:c r="E227" s="8" t="n">
        <x:f>'Source'!$AH$234</x:f>
        <x:v>2503</x:v>
      </x:c>
      <x:c r="F227" s="8" t="n">
        <x:f>D227-E227</x:f>
        <x:v>21996</x:v>
      </x:c>
      <x:c r="G227" s="8" t="n">
        <x:f>SUM('Source'!$Z$234,'Source'!$AB$234,'Source'!$AD$234,'Source'!$AF$234)</x:f>
        <x:v>10577</x:v>
      </x:c>
      <x:c r="H227" s="8" t="n">
        <x:f>'Source'!$AF$234</x:f>
        <x:v>4813</x:v>
      </x:c>
      <x:c r="I227" s="9" t="n">
        <x:f>IF(F227=0,"n.a.",G227/F227)</x:f>
        <x:v>0.4808601563920713</x:v>
      </x:c>
      <x:c r="J227" s="9" t="n">
        <x:f>IF(F227=0,"n.a.",H227/F227)</x:f>
        <x:v>0.21881251136570284</x:v>
      </x:c>
      <x:c r="K227" s="9" t="n">
        <x:f>IF(D227=0,"n.a.",E227/D227)</x:f>
        <x:v>0.10216743540552675</x:v>
      </x:c>
    </x:row>
    <x:row r="228" ht="22" customHeight="1">
      <x:c r="A228" s="6" t="str">
        <x:f>'Source'!$C$235</x:f>
        <x:v>Mankato, MN Metro Area</x:v>
      </x:c>
      <x:c r="B228" s="6" t="str">
        <x:f>'Source'!$B$235</x:f>
        <x:v>31860</x:v>
      </x:c>
      <x:c r="C228" s="7" t="n">
        <x:f>'Source'!$D$235</x:f>
        <x:v>2024</x:v>
      </x:c>
      <x:c r="D228" s="8" t="n">
        <x:f>'Source'!$N$235</x:f>
        <x:v>15081</x:v>
      </x:c>
      <x:c r="E228" s="8" t="n">
        <x:f>'Source'!$AH$235</x:f>
        <x:v>523</x:v>
      </x:c>
      <x:c r="F228" s="8" t="n">
        <x:f>D228-E228</x:f>
        <x:v>14558</x:v>
      </x:c>
      <x:c r="G228" s="8" t="n">
        <x:f>SUM('Source'!$Z$235,'Source'!$AB$235,'Source'!$AD$235,'Source'!$AF$235)</x:f>
        <x:v>6080</x:v>
      </x:c>
      <x:c r="H228" s="8" t="n">
        <x:f>'Source'!$AF$235</x:f>
        <x:v>4023</x:v>
      </x:c>
      <x:c r="I228" s="9" t="n">
        <x:f>IF(F228=0,"n.a.",G228/F228)</x:f>
        <x:v>0.41763978568484683</x:v>
      </x:c>
      <x:c r="J228" s="9" t="n">
        <x:f>IF(F228=0,"n.a.",H228/F228)</x:f>
        <x:v>0.2763429042450886</x:v>
      </x:c>
      <x:c r="K228" s="9" t="n">
        <x:f>IF(D228=0,"n.a.",E228/D228)</x:f>
        <x:v>0.03467939791790995</x:v>
      </x:c>
    </x:row>
    <x:row r="229" ht="22" customHeight="1">
      <x:c r="A229" s="6" t="str">
        <x:f>'Source'!$C$236</x:f>
        <x:v>Mansfield, OH Metro Area</x:v>
      </x:c>
      <x:c r="B229" s="6" t="str">
        <x:f>'Source'!$B$236</x:f>
        <x:v>31900</x:v>
      </x:c>
      <x:c r="C229" s="7" t="n">
        <x:f>'Source'!$D$236</x:f>
        <x:v>2024</x:v>
      </x:c>
      <x:c r="D229" s="8" t="n">
        <x:f>'Source'!$N$236</x:f>
        <x:v>16328</x:v>
      </x:c>
      <x:c r="E229" s="8" t="n">
        <x:f>'Source'!$AH$236</x:f>
        <x:v>1208</x:v>
      </x:c>
      <x:c r="F229" s="8" t="n">
        <x:f>D229-E229</x:f>
        <x:v>15120</x:v>
      </x:c>
      <x:c r="G229" s="8" t="n">
        <x:f>SUM('Source'!$Z$236,'Source'!$AB$236,'Source'!$AD$236,'Source'!$AF$236)</x:f>
        <x:v>4016</x:v>
      </x:c>
      <x:c r="H229" s="8" t="n">
        <x:f>'Source'!$AF$236</x:f>
        <x:v>1812</x:v>
      </x:c>
      <x:c r="I229" s="9" t="n">
        <x:f>IF(F229=0,"n.a.",G229/F229)</x:f>
        <x:v>0.2656084656084656</x:v>
      </x:c>
      <x:c r="J229" s="9" t="n">
        <x:f>IF(F229=0,"n.a.",H229/F229)</x:f>
        <x:v>0.11984126984126985</x:v>
      </x:c>
      <x:c r="K229" s="9" t="n">
        <x:f>IF(D229=0,"n.a.",E229/D229)</x:f>
        <x:v>0.07398334149926507</x:v>
      </x:c>
    </x:row>
    <x:row r="230" ht="22" customHeight="1">
      <x:c r="A230" s="6" t="str">
        <x:f>'Source'!$C$237</x:f>
        <x:v>McAllen-Edinburg-Mission, TX Metro Area</x:v>
      </x:c>
      <x:c r="B230" s="6" t="str">
        <x:f>'Source'!$B$237</x:f>
        <x:v>32580</x:v>
      </x:c>
      <x:c r="C230" s="7" t="n">
        <x:f>'Source'!$D$237</x:f>
        <x:v>2024</x:v>
      </x:c>
      <x:c r="D230" s="8" t="n">
        <x:f>'Source'!$N$237</x:f>
        <x:v>95038</x:v>
      </x:c>
      <x:c r="E230" s="8" t="n">
        <x:f>'Source'!$AH$237</x:f>
        <x:v>10847</x:v>
      </x:c>
      <x:c r="F230" s="8" t="n">
        <x:f>D230-E230</x:f>
        <x:v>84191</x:v>
      </x:c>
      <x:c r="G230" s="8" t="n">
        <x:f>SUM('Source'!$Z$237,'Source'!$AB$237,'Source'!$AD$237,'Source'!$AF$237)</x:f>
        <x:v>40047</x:v>
      </x:c>
      <x:c r="H230" s="8" t="n">
        <x:f>'Source'!$AF$237</x:f>
        <x:v>19821</x:v>
      </x:c>
      <x:c r="I230" s="9" t="n">
        <x:f>IF(F230=0,"n.a.",G230/F230)</x:f>
        <x:v>0.4756684206150301</x:v>
      </x:c>
      <x:c r="J230" s="9" t="n">
        <x:f>IF(F230=0,"n.a.",H230/F230)</x:f>
        <x:v>0.23542896509128053</x:v>
      </x:c>
      <x:c r="K230" s="9" t="n">
        <x:f>IF(D230=0,"n.a.",E230/D230)</x:f>
        <x:v>0.11413329405080073</x:v>
      </x:c>
    </x:row>
    <x:row r="231" ht="22" customHeight="1">
      <x:c r="A231" s="6" t="str">
        <x:f>'Source'!$C$238</x:f>
        <x:v>Medford, OR Metro Area</x:v>
      </x:c>
      <x:c r="B231" s="6" t="str">
        <x:f>'Source'!$B$238</x:f>
        <x:v>32780</x:v>
      </x:c>
      <x:c r="C231" s="7" t="n">
        <x:f>'Source'!$D$238</x:f>
        <x:v>2024</x:v>
      </x:c>
      <x:c r="D231" s="8" t="n">
        <x:f>'Source'!$N$238</x:f>
        <x:v>33135</x:v>
      </x:c>
      <x:c r="E231" s="8" t="n">
        <x:f>'Source'!$AH$238</x:f>
        <x:v>2325</x:v>
      </x:c>
      <x:c r="F231" s="8" t="n">
        <x:f>D231-E231</x:f>
        <x:v>30810</x:v>
      </x:c>
      <x:c r="G231" s="8" t="n">
        <x:f>SUM('Source'!$Z$238,'Source'!$AB$238,'Source'!$AD$238,'Source'!$AF$238)</x:f>
        <x:v>18057</x:v>
      </x:c>
      <x:c r="H231" s="8" t="n">
        <x:f>'Source'!$AF$238</x:f>
        <x:v>7862</x:v>
      </x:c>
      <x:c r="I231" s="9" t="n">
        <x:f>IF(F231=0,"n.a.",G231/F231)</x:f>
        <x:v>0.5860759493670886</x:v>
      </x:c>
      <x:c r="J231" s="9" t="n">
        <x:f>IF(F231=0,"n.a.",H231/F231)</x:f>
        <x:v>0.2551768906199286</x:v>
      </x:c>
      <x:c r="K231" s="9" t="n">
        <x:f>IF(D231=0,"n.a.",E231/D231)</x:f>
        <x:v>0.07016749660479855</x:v>
      </x:c>
    </x:row>
    <x:row r="232" ht="22" customHeight="1">
      <x:c r="A232" s="6" t="str">
        <x:f>'Source'!$C$239</x:f>
        <x:v>Memphis, TN-MS-AR Metro Area</x:v>
      </x:c>
      <x:c r="B232" s="6" t="str">
        <x:f>'Source'!$B$239</x:f>
        <x:v>32820</x:v>
      </x:c>
      <x:c r="C232" s="7" t="n">
        <x:f>'Source'!$D$239</x:f>
        <x:v>2024</x:v>
      </x:c>
      <x:c r="D232" s="8" t="n">
        <x:f>'Source'!$N$239</x:f>
        <x:v>213355</x:v>
      </x:c>
      <x:c r="E232" s="8" t="n">
        <x:f>'Source'!$AH$239</x:f>
        <x:v>14702</x:v>
      </x:c>
      <x:c r="F232" s="8" t="n">
        <x:f>D232-E232</x:f>
        <x:v>198653</x:v>
      </x:c>
      <x:c r="G232" s="8" t="n">
        <x:f>SUM('Source'!$Z$239,'Source'!$AB$239,'Source'!$AD$239,'Source'!$AF$239)</x:f>
        <x:v>110228</x:v>
      </x:c>
      <x:c r="H232" s="8" t="n">
        <x:f>'Source'!$AF$239</x:f>
        <x:v>57965</x:v>
      </x:c>
      <x:c r="I232" s="9" t="n">
        <x:f>IF(F232=0,"n.a.",G232/F232)</x:f>
        <x:v>0.5548770972499786</x:v>
      </x:c>
      <x:c r="J232" s="9" t="n">
        <x:f>IF(F232=0,"n.a.",H232/F232)</x:f>
        <x:v>0.2917902070444443</x:v>
      </x:c>
      <x:c r="K232" s="9" t="n">
        <x:f>IF(D232=0,"n.a.",E232/D232)</x:f>
        <x:v>0.06890862646762438</x:v>
      </x:c>
    </x:row>
    <x:row r="233" ht="22" customHeight="1">
      <x:c r="A233" s="6" t="str">
        <x:f>'Source'!$C$240</x:f>
        <x:v>Merced, CA Metro Area</x:v>
      </x:c>
      <x:c r="B233" s="6" t="str">
        <x:f>'Source'!$B$240</x:f>
        <x:v>32900</x:v>
      </x:c>
      <x:c r="C233" s="7" t="n">
        <x:f>'Source'!$D$240</x:f>
        <x:v>2024</x:v>
      </x:c>
      <x:c r="D233" s="8" t="n">
        <x:f>'Source'!$N$240</x:f>
        <x:v>39152</x:v>
      </x:c>
      <x:c r="E233" s="8" t="n">
        <x:f>'Source'!$AH$240</x:f>
        <x:v>3512</x:v>
      </x:c>
      <x:c r="F233" s="8" t="n">
        <x:f>D233-E233</x:f>
        <x:v>35640</x:v>
      </x:c>
      <x:c r="G233" s="8" t="n">
        <x:f>SUM('Source'!$Z$240,'Source'!$AB$240,'Source'!$AD$240,'Source'!$AF$240)</x:f>
        <x:v>20588</x:v>
      </x:c>
      <x:c r="H233" s="8" t="n">
        <x:f>'Source'!$AF$240</x:f>
        <x:v>10766</x:v>
      </x:c>
      <x:c r="I233" s="9" t="n">
        <x:f>IF(F233=0,"n.a.",G233/F233)</x:f>
        <x:v>0.577665544332211</x:v>
      </x:c>
      <x:c r="J233" s="9" t="n">
        <x:f>IF(F233=0,"n.a.",H233/F233)</x:f>
        <x:v>0.3020763187429854</x:v>
      </x:c>
      <x:c r="K233" s="9" t="n">
        <x:f>IF(D233=0,"n.a.",E233/D233)</x:f>
        <x:v>0.08970167552104617</x:v>
      </x:c>
    </x:row>
    <x:row r="234" ht="22" customHeight="1">
      <x:c r="A234" s="6" t="str">
        <x:f>'Source'!$C$241</x:f>
        <x:v>Miami-Fort Lauderdale-West Palm Beach, FL Metro Area</x:v>
      </x:c>
      <x:c r="B234" s="6" t="str">
        <x:f>'Source'!$B$241</x:f>
        <x:v>33100</x:v>
      </x:c>
      <x:c r="C234" s="7" t="n">
        <x:f>'Source'!$D$241</x:f>
        <x:v>2024</x:v>
      </x:c>
      <x:c r="D234" s="8" t="n">
        <x:f>'Source'!$N$241</x:f>
        <x:v>933538</x:v>
      </x:c>
      <x:c r="E234" s="8" t="n">
        <x:f>'Source'!$AH$241</x:f>
        <x:v>51124</x:v>
      </x:c>
      <x:c r="F234" s="8" t="n">
        <x:f>D234-E234</x:f>
        <x:v>882414</x:v>
      </x:c>
      <x:c r="G234" s="8" t="n">
        <x:f>SUM('Source'!$Z$241,'Source'!$AB$241,'Source'!$AD$241,'Source'!$AF$241)</x:f>
        <x:v>580418</x:v>
      </x:c>
      <x:c r="H234" s="8" t="n">
        <x:f>'Source'!$AF$241</x:f>
        <x:v>319368</x:v>
      </x:c>
      <x:c r="I234" s="9" t="n">
        <x:f>IF(F234=0,"n.a.",G234/F234)</x:f>
        <x:v>0.6577615495674366</x:v>
      </x:c>
      <x:c r="J234" s="9" t="n">
        <x:f>IF(F234=0,"n.a.",H234/F234)</x:f>
        <x:v>0.36192535476545024</x:v>
      </x:c>
      <x:c r="K234" s="9" t="n">
        <x:f>IF(D234=0,"n.a.",E234/D234)</x:f>
        <x:v>0.05476370538746146</x:v>
      </x:c>
    </x:row>
    <x:row r="235" ht="22" customHeight="1">
      <x:c r="A235" s="6" t="str">
        <x:f>'Source'!$C$242</x:f>
        <x:v>Michigan City-La Porte, IN Metro Area</x:v>
      </x:c>
      <x:c r="B235" s="6" t="str">
        <x:f>'Source'!$B$242</x:f>
        <x:v>33140</x:v>
      </x:c>
      <x:c r="C235" s="7" t="n">
        <x:f>'Source'!$D$242</x:f>
        <x:v>2024</x:v>
      </x:c>
      <x:c r="D235" s="8" t="n">
        <x:f>'Source'!$N$242</x:f>
        <x:v>11021</x:v>
      </x:c>
      <x:c r="E235" s="8" t="n">
        <x:f>'Source'!$AH$242</x:f>
        <x:v>1647</x:v>
      </x:c>
      <x:c r="F235" s="8" t="n">
        <x:f>D235-E235</x:f>
        <x:v>9374</x:v>
      </x:c>
      <x:c r="G235" s="8" t="n">
        <x:f>SUM('Source'!$Z$242,'Source'!$AB$242,'Source'!$AD$242,'Source'!$AF$242)</x:f>
        <x:v>4417</x:v>
      </x:c>
      <x:c r="H235" s="8" t="n">
        <x:f>'Source'!$AF$242</x:f>
        <x:v>2472</x:v>
      </x:c>
      <x:c r="I235" s="9" t="n">
        <x:f>IF(F235=0,"n.a.",G235/F235)</x:f>
        <x:v>0.47119692767228505</x:v>
      </x:c>
      <x:c r="J235" s="9" t="n">
        <x:f>IF(F235=0,"n.a.",H235/F235)</x:f>
        <x:v>0.2637081288670792</x:v>
      </x:c>
      <x:c r="K235" s="9" t="n">
        <x:f>IF(D235=0,"n.a.",E235/D235)</x:f>
        <x:v>0.14944197441248525</x:v>
      </x:c>
    </x:row>
    <x:row r="236" ht="22" customHeight="1">
      <x:c r="A236" s="6" t="str">
        <x:f>'Source'!$C$243</x:f>
        <x:v>Midland, MI Metro Area</x:v>
      </x:c>
      <x:c r="B236" s="6" t="str">
        <x:f>'Source'!$B$243</x:f>
        <x:v>33220</x:v>
      </x:c>
      <x:c r="C236" s="7" t="n">
        <x:f>'Source'!$D$243</x:f>
        <x:v>2024</x:v>
      </x:c>
      <x:c r="D236" s="8" t="n">
        <x:f>'Source'!$N$243</x:f>
        <x:v>7361</x:v>
      </x:c>
      <x:c r="E236" s="8" t="n">
        <x:f>'Source'!$AH$243</x:f>
        <x:v>531</x:v>
      </x:c>
      <x:c r="F236" s="8" t="n">
        <x:f>D236-E236</x:f>
        <x:v>6830</x:v>
      </x:c>
      <x:c r="G236" s="8" t="n">
        <x:f>SUM('Source'!$Z$243,'Source'!$AB$243,'Source'!$AD$243,'Source'!$AF$243)</x:f>
        <x:v>3349</x:v>
      </x:c>
      <x:c r="H236" s="8" t="n">
        <x:f>'Source'!$AF$243</x:f>
        <x:v>2127</x:v>
      </x:c>
      <x:c r="I236" s="9" t="n">
        <x:f>IF(F236=0,"n.a.",G236/F236)</x:f>
        <x:v>0.4903367496339678</x:v>
      </x:c>
      <x:c r="J236" s="9" t="n">
        <x:f>IF(F236=0,"n.a.",H236/F236)</x:f>
        <x:v>0.3114202049780381</x:v>
      </x:c>
      <x:c r="K236" s="9" t="n">
        <x:f>IF(D236=0,"n.a.",E236/D236)</x:f>
        <x:v>0.07213693791604402</x:v>
      </x:c>
    </x:row>
    <x:row r="237" ht="22" customHeight="1">
      <x:c r="A237" s="6" t="str">
        <x:f>'Source'!$C$244</x:f>
        <x:v>Midland, TX Metro Area</x:v>
      </x:c>
      <x:c r="B237" s="6" t="str">
        <x:f>'Source'!$B$244</x:f>
        <x:v>33260</x:v>
      </x:c>
      <x:c r="C237" s="7" t="n">
        <x:f>'Source'!$D$244</x:f>
        <x:v>2024</x:v>
      </x:c>
      <x:c r="D237" s="8" t="n">
        <x:f>'Source'!$N$244</x:f>
        <x:v>24878</x:v>
      </x:c>
      <x:c r="E237" s="8" t="n">
        <x:f>'Source'!$AH$244</x:f>
        <x:v>998</x:v>
      </x:c>
      <x:c r="F237" s="8" t="n">
        <x:f>D237-E237</x:f>
        <x:v>23880</x:v>
      </x:c>
      <x:c r="G237" s="8" t="n">
        <x:f>SUM('Source'!$Z$244,'Source'!$AB$244,'Source'!$AD$244,'Source'!$AF$244)</x:f>
        <x:v>12752</x:v>
      </x:c>
      <x:c r="H237" s="8" t="n">
        <x:f>'Source'!$AF$244</x:f>
        <x:v>6081</x:v>
      </x:c>
      <x:c r="I237" s="9" t="n">
        <x:f>IF(F237=0,"n.a.",G237/F237)</x:f>
        <x:v>0.5340033500837521</x:v>
      </x:c>
      <x:c r="J237" s="9" t="n">
        <x:f>IF(F237=0,"n.a.",H237/F237)</x:f>
        <x:v>0.25464824120603013</x:v>
      </x:c>
      <x:c r="K237" s="9" t="n">
        <x:f>IF(D237=0,"n.a.",E237/D237)</x:f>
        <x:v>0.040115764932872416</x:v>
      </x:c>
    </x:row>
    <x:row r="238" ht="22" customHeight="1">
      <x:c r="A238" s="6" t="str">
        <x:f>'Source'!$C$245</x:f>
        <x:v>Milwaukee-Waukesha, WI Metro Area</x:v>
      </x:c>
      <x:c r="B238" s="6" t="str">
        <x:f>'Source'!$B$245</x:f>
        <x:v>33340</x:v>
      </x:c>
      <x:c r="C238" s="7" t="n">
        <x:f>'Source'!$D$245</x:f>
        <x:v>2024</x:v>
      </x:c>
      <x:c r="D238" s="8" t="n">
        <x:f>'Source'!$N$245</x:f>
        <x:v>260009</x:v>
      </x:c>
      <x:c r="E238" s="8" t="n">
        <x:f>'Source'!$AH$245</x:f>
        <x:v>12487</x:v>
      </x:c>
      <x:c r="F238" s="8" t="n">
        <x:f>D238-E238</x:f>
        <x:v>247522</x:v>
      </x:c>
      <x:c r="G238" s="8" t="n">
        <x:f>SUM('Source'!$Z$245,'Source'!$AB$245,'Source'!$AD$245,'Source'!$AF$245)</x:f>
        <x:v>119870</x:v>
      </x:c>
      <x:c r="H238" s="8" t="n">
        <x:f>'Source'!$AF$245</x:f>
        <x:v>58859</x:v>
      </x:c>
      <x:c r="I238" s="9" t="n">
        <x:f>IF(F238=0,"n.a.",G238/F238)</x:f>
        <x:v>0.48428018519565935</x:v>
      </x:c>
      <x:c r="J238" s="9" t="n">
        <x:f>IF(F238=0,"n.a.",H238/F238)</x:f>
        <x:v>0.23779300425820735</x:v>
      </x:c>
      <x:c r="K238" s="9" t="n">
        <x:f>IF(D238=0,"n.a.",E238/D238)</x:f>
        <x:v>0.04802526066405394</x:v>
      </x:c>
    </x:row>
    <x:row r="239" ht="22" customHeight="1">
      <x:c r="A239" s="6" t="str">
        <x:f>'Source'!$C$246</x:f>
        <x:v>Minneapolis-St. Paul-Bloomington, MN-WI Metro Area</x:v>
      </x:c>
      <x:c r="B239" s="6" t="str">
        <x:f>'Source'!$B$246</x:f>
        <x:v>33460</x:v>
      </x:c>
      <x:c r="C239" s="7" t="n">
        <x:f>'Source'!$D$246</x:f>
        <x:v>2024</x:v>
      </x:c>
      <x:c r="D239" s="8" t="n">
        <x:f>'Source'!$N$246</x:f>
        <x:v>454732</x:v>
      </x:c>
      <x:c r="E239" s="8" t="n">
        <x:f>'Source'!$AH$246</x:f>
        <x:v>20249</x:v>
      </x:c>
      <x:c r="F239" s="8" t="n">
        <x:f>D239-E239</x:f>
        <x:v>434483</x:v>
      </x:c>
      <x:c r="G239" s="8" t="n">
        <x:f>SUM('Source'!$Z$246,'Source'!$AB$246,'Source'!$AD$246,'Source'!$AF$246)</x:f>
        <x:v>205833</x:v>
      </x:c>
      <x:c r="H239" s="8" t="n">
        <x:f>'Source'!$AF$246</x:f>
        <x:v>97141</x:v>
      </x:c>
      <x:c r="I239" s="9" t="n">
        <x:f>IF(F239=0,"n.a.",G239/F239)</x:f>
        <x:v>0.47374235585742136</x:v>
      </x:c>
      <x:c r="J239" s="9" t="n">
        <x:f>IF(F239=0,"n.a.",H239/F239)</x:f>
        <x:v>0.2235783678532877</x:v>
      </x:c>
      <x:c r="K239" s="9" t="n">
        <x:f>IF(D239=0,"n.a.",E239/D239)</x:f>
        <x:v>0.044529525082905974</x:v>
      </x:c>
    </x:row>
    <x:row r="240" ht="22" customHeight="1">
      <x:c r="A240" s="6" t="str">
        <x:f>'Source'!$C$247</x:f>
        <x:v>Minot, ND Metro Area</x:v>
      </x:c>
      <x:c r="B240" s="6" t="str">
        <x:f>'Source'!$B$247</x:f>
        <x:v>33500</x:v>
      </x:c>
      <x:c r="C240" s="7" t="n">
        <x:f>'Source'!$D$247</x:f>
        <x:v>2024</x:v>
      </x:c>
      <x:c r="D240" s="8" t="n">
        <x:f>'Source'!$N$247</x:f>
        <x:v>13566</x:v>
      </x:c>
      <x:c r="E240" s="8" t="n">
        <x:f>'Source'!$AH$247</x:f>
        <x:v>424</x:v>
      </x:c>
      <x:c r="F240" s="8" t="n">
        <x:f>D240-E240</x:f>
        <x:v>13142</x:v>
      </x:c>
      <x:c r="G240" s="8" t="n">
        <x:f>SUM('Source'!$Z$247,'Source'!$AB$247,'Source'!$AD$247,'Source'!$AF$247)</x:f>
        <x:v>4913</x:v>
      </x:c>
      <x:c r="H240" s="8" t="n">
        <x:f>'Source'!$AF$247</x:f>
        <x:v>2010</x:v>
      </x:c>
      <x:c r="I240" s="9" t="n">
        <x:f>IF(F240=0,"n.a.",G240/F240)</x:f>
        <x:v>0.3738395982346675</x:v>
      </x:c>
      <x:c r="J240" s="9" t="n">
        <x:f>IF(F240=0,"n.a.",H240/F240)</x:f>
        <x:v>0.15294475726677828</x:v>
      </x:c>
      <x:c r="K240" s="9" t="n">
        <x:f>IF(D240=0,"n.a.",E240/D240)</x:f>
        <x:v>0.031254607106000296</x:v>
      </x:c>
    </x:row>
    <x:row r="241" ht="22" customHeight="1">
      <x:c r="A241" s="6" t="str">
        <x:f>'Source'!$C$248</x:f>
        <x:v>Missoula, MT Metro Area</x:v>
      </x:c>
      <x:c r="B241" s="6" t="str">
        <x:f>'Source'!$B$248</x:f>
        <x:v>33540</x:v>
      </x:c>
      <x:c r="C241" s="7" t="n">
        <x:f>'Source'!$D$248</x:f>
        <x:v>2024</x:v>
      </x:c>
      <x:c r="D241" s="8" t="n">
        <x:f>'Source'!$N$248</x:f>
        <x:v>24197</x:v>
      </x:c>
      <x:c r="E241" s="8" t="n">
        <x:f>'Source'!$AH$248</x:f>
        <x:v>1096</x:v>
      </x:c>
      <x:c r="F241" s="8" t="n">
        <x:f>D241-E241</x:f>
        <x:v>23101</x:v>
      </x:c>
      <x:c r="G241" s="8" t="n">
        <x:f>SUM('Source'!$Z$248,'Source'!$AB$248,'Source'!$AD$248,'Source'!$AF$248)</x:f>
        <x:v>11408</x:v>
      </x:c>
      <x:c r="H241" s="8" t="n">
        <x:f>'Source'!$AF$248</x:f>
        <x:v>5498</x:v>
      </x:c>
      <x:c r="I241" s="9" t="n">
        <x:f>IF(F241=0,"n.a.",G241/F241)</x:f>
        <x:v>0.49383143586857714</x:v>
      </x:c>
      <x:c r="J241" s="9" t="n">
        <x:f>IF(F241=0,"n.a.",H241/F241)</x:f>
        <x:v>0.23799835504956496</x:v>
      </x:c>
      <x:c r="K241" s="9" t="n">
        <x:f>IF(D241=0,"n.a.",E241/D241)</x:f>
        <x:v>0.04529487126503286</x:v>
      </x:c>
    </x:row>
    <x:row r="242" ht="22" customHeight="1">
      <x:c r="A242" s="6" t="str">
        <x:f>'Source'!$C$249</x:f>
        <x:v>Mobile, AL Metro Area</x:v>
      </x:c>
      <x:c r="B242" s="6" t="str">
        <x:f>'Source'!$B$249</x:f>
        <x:v>33660</x:v>
      </x:c>
      <x:c r="C242" s="7" t="n">
        <x:f>'Source'!$D$249</x:f>
        <x:v>2024</x:v>
      </x:c>
      <x:c r="D242" s="8" t="n">
        <x:f>'Source'!$N$249</x:f>
        <x:v>45533</x:v>
      </x:c>
      <x:c r="E242" s="8" t="n">
        <x:f>'Source'!$AH$249</x:f>
        <x:v>5884</x:v>
      </x:c>
      <x:c r="F242" s="8" t="n">
        <x:f>D242-E242</x:f>
        <x:v>39649</x:v>
      </x:c>
      <x:c r="G242" s="8" t="n">
        <x:f>SUM('Source'!$Z$249,'Source'!$AB$249,'Source'!$AD$249,'Source'!$AF$249)</x:f>
        <x:v>23298</x:v>
      </x:c>
      <x:c r="H242" s="8" t="n">
        <x:f>'Source'!$AF$249</x:f>
        <x:v>13041</x:v>
      </x:c>
      <x:c r="I242" s="9" t="n">
        <x:f>IF(F242=0,"n.a.",G242/F242)</x:f>
        <x:v>0.5876062447981033</x:v>
      </x:c>
      <x:c r="J242" s="9" t="n">
        <x:f>IF(F242=0,"n.a.",H242/F242)</x:f>
        <x:v>0.32891119574264166</x:v>
      </x:c>
      <x:c r="K242" s="9" t="n">
        <x:f>IF(D242=0,"n.a.",E242/D242)</x:f>
        <x:v>0.12922495772297016</x:v>
      </x:c>
    </x:row>
    <x:row r="243" ht="22" customHeight="1">
      <x:c r="A243" s="6" t="str">
        <x:f>'Source'!$C$250</x:f>
        <x:v>Modesto, CA Metro Area</x:v>
      </x:c>
      <x:c r="B243" s="6" t="str">
        <x:f>'Source'!$B$250</x:f>
        <x:v>33700</x:v>
      </x:c>
      <x:c r="C243" s="7" t="n">
        <x:f>'Source'!$D$250</x:f>
        <x:v>2024</x:v>
      </x:c>
      <x:c r="D243" s="8" t="n">
        <x:f>'Source'!$N$250</x:f>
        <x:v>69242</x:v>
      </x:c>
      <x:c r="E243" s="8" t="n">
        <x:f>'Source'!$AH$250</x:f>
        <x:v>6142</x:v>
      </x:c>
      <x:c r="F243" s="8" t="n">
        <x:f>D243-E243</x:f>
        <x:v>63100</x:v>
      </x:c>
      <x:c r="G243" s="8" t="n">
        <x:f>SUM('Source'!$Z$250,'Source'!$AB$250,'Source'!$AD$250,'Source'!$AF$250)</x:f>
        <x:v>38935</x:v>
      </x:c>
      <x:c r="H243" s="8" t="n">
        <x:f>'Source'!$AF$250</x:f>
        <x:v>18395</x:v>
      </x:c>
      <x:c r="I243" s="9" t="n">
        <x:f>IF(F243=0,"n.a.",G243/F243)</x:f>
        <x:v>0.6170364500792394</x:v>
      </x:c>
      <x:c r="J243" s="9" t="n">
        <x:f>IF(F243=0,"n.a.",H243/F243)</x:f>
        <x:v>0.29152139461172744</x:v>
      </x:c>
      <x:c r="K243" s="9" t="n">
        <x:f>IF(D243=0,"n.a.",E243/D243)</x:f>
        <x:v>0.08870338811703879</x:v>
      </x:c>
    </x:row>
    <x:row r="244" ht="22" customHeight="1">
      <x:c r="A244" s="6" t="str">
        <x:f>'Source'!$C$251</x:f>
        <x:v>Monroe, LA Metro Area</x:v>
      </x:c>
      <x:c r="B244" s="6" t="str">
        <x:f>'Source'!$B$251</x:f>
        <x:v>33740</x:v>
      </x:c>
      <x:c r="C244" s="7" t="n">
        <x:f>'Source'!$D$251</x:f>
        <x:v>2024</x:v>
      </x:c>
      <x:c r="D244" s="8" t="n">
        <x:f>'Source'!$N$251</x:f>
        <x:v>28345</x:v>
      </x:c>
      <x:c r="E244" s="8" t="n">
        <x:f>'Source'!$AH$251</x:f>
        <x:v>3482</x:v>
      </x:c>
      <x:c r="F244" s="8" t="n">
        <x:f>D244-E244</x:f>
        <x:v>24863</x:v>
      </x:c>
      <x:c r="G244" s="8" t="n">
        <x:f>SUM('Source'!$Z$251,'Source'!$AB$251,'Source'!$AD$251,'Source'!$AF$251)</x:f>
        <x:v>11895</x:v>
      </x:c>
      <x:c r="H244" s="8" t="n">
        <x:f>'Source'!$AF$251</x:f>
        <x:v>6575</x:v>
      </x:c>
      <x:c r="I244" s="9" t="n">
        <x:f>IF(F244=0,"n.a.",G244/F244)</x:f>
        <x:v>0.4784217511965571</x:v>
      </x:c>
      <x:c r="J244" s="9" t="n">
        <x:f>IF(F244=0,"n.a.",H244/F244)</x:f>
        <x:v>0.26444918151470054</x:v>
      </x:c>
      <x:c r="K244" s="9" t="n">
        <x:f>IF(D244=0,"n.a.",E244/D244)</x:f>
        <x:v>0.12284353501499383</x:v>
      </x:c>
    </x:row>
    <x:row r="245" ht="22" customHeight="1">
      <x:c r="A245" s="6" t="str">
        <x:f>'Source'!$C$252</x:f>
        <x:v>Monroe, MI Metro Area</x:v>
      </x:c>
      <x:c r="B245" s="6" t="str">
        <x:f>'Source'!$B$252</x:f>
        <x:v>33780</x:v>
      </x:c>
      <x:c r="C245" s="7" t="n">
        <x:f>'Source'!$D$252</x:f>
        <x:v>2024</x:v>
      </x:c>
      <x:c r="D245" s="8" t="n">
        <x:f>'Source'!$N$252</x:f>
        <x:v>10949</x:v>
      </x:c>
      <x:c r="E245" s="8" t="n">
        <x:f>'Source'!$AH$252</x:f>
        <x:v>945</x:v>
      </x:c>
      <x:c r="F245" s="8" t="n">
        <x:f>D245-E245</x:f>
        <x:v>10004</x:v>
      </x:c>
      <x:c r="G245" s="8" t="n">
        <x:f>SUM('Source'!$Z$252,'Source'!$AB$252,'Source'!$AD$252,'Source'!$AF$252)</x:f>
        <x:v>4441</x:v>
      </x:c>
      <x:c r="H245" s="8" t="n">
        <x:f>'Source'!$AF$252</x:f>
        <x:v>2625</x:v>
      </x:c>
      <x:c r="I245" s="9" t="n">
        <x:f>IF(F245=0,"n.a.",G245/F245)</x:f>
        <x:v>0.44392243102758894</x:v>
      </x:c>
      <x:c r="J245" s="9" t="n">
        <x:f>IF(F245=0,"n.a.",H245/F245)</x:f>
        <x:v>0.26239504198320673</x:v>
      </x:c>
      <x:c r="K245" s="9" t="n">
        <x:f>IF(D245=0,"n.a.",E245/D245)</x:f>
        <x:v>0.08630925198648279</x:v>
      </x:c>
    </x:row>
    <x:row r="246" ht="22" customHeight="1">
      <x:c r="A246" s="6" t="str">
        <x:f>'Source'!$C$253</x:f>
        <x:v>Montgomery, AL Metro Area</x:v>
      </x:c>
      <x:c r="B246" s="6" t="str">
        <x:f>'Source'!$B$253</x:f>
        <x:v>33860</x:v>
      </x:c>
      <x:c r="C246" s="7" t="n">
        <x:f>'Source'!$D$253</x:f>
        <x:v>2024</x:v>
      </x:c>
      <x:c r="D246" s="8" t="n">
        <x:f>'Source'!$N$253</x:f>
        <x:v>51571</x:v>
      </x:c>
      <x:c r="E246" s="8" t="n">
        <x:f>'Source'!$AH$253</x:f>
        <x:v>5612</x:v>
      </x:c>
      <x:c r="F246" s="8" t="n">
        <x:f>D246-E246</x:f>
        <x:v>45959</x:v>
      </x:c>
      <x:c r="G246" s="8" t="n">
        <x:f>SUM('Source'!$Z$253,'Source'!$AB$253,'Source'!$AD$253,'Source'!$AF$253)</x:f>
        <x:v>25477</x:v>
      </x:c>
      <x:c r="H246" s="8" t="n">
        <x:f>'Source'!$AF$253</x:f>
        <x:v>13470</x:v>
      </x:c>
      <x:c r="I246" s="9" t="n">
        <x:f>IF(F246=0,"n.a.",G246/F246)</x:f>
        <x:v>0.5543419134445919</x:v>
      </x:c>
      <x:c r="J246" s="9" t="n">
        <x:f>IF(F246=0,"n.a.",H246/F246)</x:f>
        <x:v>0.29308731695641765</x:v>
      </x:c>
      <x:c r="K246" s="9" t="n">
        <x:f>IF(D246=0,"n.a.",E246/D246)</x:f>
        <x:v>0.10882084892672238</x:v>
      </x:c>
    </x:row>
    <x:row r="247" ht="22" customHeight="1">
      <x:c r="A247" s="6" t="str">
        <x:f>'Source'!$C$254</x:f>
        <x:v>Morgantown, WV Metro Area</x:v>
      </x:c>
      <x:c r="B247" s="6" t="str">
        <x:f>'Source'!$B$254</x:f>
        <x:v>34060</x:v>
      </x:c>
      <x:c r="C247" s="7" t="n">
        <x:f>'Source'!$D$254</x:f>
        <x:v>2024</x:v>
      </x:c>
      <x:c r="D247" s="8" t="n">
        <x:f>'Source'!$N$254</x:f>
        <x:v>21254</x:v>
      </x:c>
      <x:c r="E247" s="8" t="n">
        <x:f>'Source'!$AH$254</x:f>
        <x:v>3168</x:v>
      </x:c>
      <x:c r="F247" s="8" t="n">
        <x:f>D247-E247</x:f>
        <x:v>18086</x:v>
      </x:c>
      <x:c r="G247" s="8" t="n">
        <x:f>SUM('Source'!$Z$254,'Source'!$AB$254,'Source'!$AD$254,'Source'!$AF$254)</x:f>
        <x:v>9497</x:v>
      </x:c>
      <x:c r="H247" s="8" t="n">
        <x:f>'Source'!$AF$254</x:f>
        <x:v>5141</x:v>
      </x:c>
      <x:c r="I247" s="9" t="n">
        <x:f>IF(F247=0,"n.a.",G247/F247)</x:f>
        <x:v>0.525102289063364</x:v>
      </x:c>
      <x:c r="J247" s="9" t="n">
        <x:f>IF(F247=0,"n.a.",H247/F247)</x:f>
        <x:v>0.28425301338051534</x:v>
      </x:c>
      <x:c r="K247" s="9" t="n">
        <x:f>IF(D247=0,"n.a.",E247/D247)</x:f>
        <x:v>0.14905429566199305</x:v>
      </x:c>
    </x:row>
    <x:row r="248" ht="22" customHeight="1">
      <x:c r="A248" s="6" t="str">
        <x:f>'Source'!$C$255</x:f>
        <x:v>Morristown, TN Metro Area</x:v>
      </x:c>
      <x:c r="B248" s="6" t="str">
        <x:f>'Source'!$B$255</x:f>
        <x:v>34100</x:v>
      </x:c>
      <x:c r="C248" s="7" t="n">
        <x:f>'Source'!$D$255</x:f>
        <x:v>2024</x:v>
      </x:c>
      <x:c r="D248" s="8" t="n">
        <x:f>'Source'!$N$255</x:f>
        <x:v>12326</x:v>
      </x:c>
      <x:c r="E248" s="8" t="n">
        <x:f>'Source'!$AH$255</x:f>
        <x:v>960</x:v>
      </x:c>
      <x:c r="F248" s="8" t="n">
        <x:f>D248-E248</x:f>
        <x:v>11366</x:v>
      </x:c>
      <x:c r="G248" s="8" t="n">
        <x:f>SUM('Source'!$Z$255,'Source'!$AB$255,'Source'!$AD$255,'Source'!$AF$255)</x:f>
        <x:v>4393</x:v>
      </x:c>
      <x:c r="H248" s="8" t="n">
        <x:f>'Source'!$AF$255</x:f>
        <x:v>1713</x:v>
      </x:c>
      <x:c r="I248" s="9" t="n">
        <x:f>IF(F248=0,"n.a.",G248/F248)</x:f>
        <x:v>0.38650360724969207</x:v>
      </x:c>
      <x:c r="J248" s="9" t="n">
        <x:f>IF(F248=0,"n.a.",H248/F248)</x:f>
        <x:v>0.15071265176843215</x:v>
      </x:c>
      <x:c r="K248" s="9" t="n">
        <x:f>IF(D248=0,"n.a.",E248/D248)</x:f>
        <x:v>0.07788414733084537</x:v>
      </x:c>
    </x:row>
    <x:row r="249" ht="22" customHeight="1">
      <x:c r="A249" s="6" t="str">
        <x:f>'Source'!$C$256</x:f>
        <x:v>Mount Vernon-Anacortes, WA Metro Area</x:v>
      </x:c>
      <x:c r="B249" s="6" t="str">
        <x:f>'Source'!$B$256</x:f>
        <x:v>34580</x:v>
      </x:c>
      <x:c r="C249" s="7" t="n">
        <x:f>'Source'!$D$256</x:f>
        <x:v>2024</x:v>
      </x:c>
      <x:c r="D249" s="8" t="n">
        <x:f>'Source'!$N$256</x:f>
        <x:v>17711</x:v>
      </x:c>
      <x:c r="E249" s="8" t="n">
        <x:f>'Source'!$AH$256</x:f>
        <x:v>1306</x:v>
      </x:c>
      <x:c r="F249" s="8" t="n">
        <x:f>D249-E249</x:f>
        <x:v>16405</x:v>
      </x:c>
      <x:c r="G249" s="8" t="n">
        <x:f>SUM('Source'!$Z$256,'Source'!$AB$256,'Source'!$AD$256,'Source'!$AF$256)</x:f>
        <x:v>7638</x:v>
      </x:c>
      <x:c r="H249" s="8" t="n">
        <x:f>'Source'!$AF$256</x:f>
        <x:v>2678</x:v>
      </x:c>
      <x:c r="I249" s="9" t="n">
        <x:f>IF(F249=0,"n.a.",G249/F249)</x:f>
        <x:v>0.4655897592197501</x:v>
      </x:c>
      <x:c r="J249" s="9" t="n">
        <x:f>IF(F249=0,"n.a.",H249/F249)</x:f>
        <x:v>0.1632429137458092</x:v>
      </x:c>
      <x:c r="K249" s="9" t="n">
        <x:f>IF(D249=0,"n.a.",E249/D249)</x:f>
        <x:v>0.07373948393653662</x:v>
      </x:c>
    </x:row>
    <x:row r="250" ht="22" customHeight="1">
      <x:c r="A250" s="6" t="str">
        <x:f>'Source'!$C$257</x:f>
        <x:v>Muncie, IN Metro Area</x:v>
      </x:c>
      <x:c r="B250" s="6" t="str">
        <x:f>'Source'!$B$257</x:f>
        <x:v>34620</x:v>
      </x:c>
      <x:c r="C250" s="7" t="n">
        <x:f>'Source'!$D$257</x:f>
        <x:v>2024</x:v>
      </x:c>
      <x:c r="D250" s="8" t="n">
        <x:f>'Source'!$N$257</x:f>
        <x:v>17804</x:v>
      </x:c>
      <x:c r="E250" s="8" t="n">
        <x:f>'Source'!$AH$257</x:f>
        <x:v>2031</x:v>
      </x:c>
      <x:c r="F250" s="8" t="n">
        <x:f>D250-E250</x:f>
        <x:v>15773</x:v>
      </x:c>
      <x:c r="G250" s="8" t="n">
        <x:f>SUM('Source'!$Z$257,'Source'!$AB$257,'Source'!$AD$257,'Source'!$AF$257)</x:f>
        <x:v>7525</x:v>
      </x:c>
      <x:c r="H250" s="8" t="n">
        <x:f>'Source'!$AF$257</x:f>
        <x:v>4518</x:v>
      </x:c>
      <x:c r="I250" s="9" t="n">
        <x:f>IF(F250=0,"n.a.",G250/F250)</x:f>
        <x:v>0.4770810879350789</x:v>
      </x:c>
      <x:c r="J250" s="9" t="n">
        <x:f>IF(F250=0,"n.a.",H250/F250)</x:f>
        <x:v>0.28643885120142015</x:v>
      </x:c>
      <x:c r="K250" s="9" t="n">
        <x:f>IF(D250=0,"n.a.",E250/D250)</x:f>
        <x:v>0.114075488654235</x:v>
      </x:c>
    </x:row>
    <x:row r="251" ht="22" customHeight="1">
      <x:c r="A251" s="6" t="str">
        <x:f>'Source'!$C$258</x:f>
        <x:v>Muskegon-Norton Shores, MI Metro Area</x:v>
      </x:c>
      <x:c r="B251" s="6" t="str">
        <x:f>'Source'!$B$258</x:f>
        <x:v>34740</x:v>
      </x:c>
      <x:c r="C251" s="7" t="n">
        <x:f>'Source'!$D$258</x:f>
        <x:v>2024</x:v>
      </x:c>
      <x:c r="D251" s="8" t="n">
        <x:f>'Source'!$N$258</x:f>
        <x:v>17023</x:v>
      </x:c>
      <x:c r="E251" s="8" t="n">
        <x:f>'Source'!$AH$258</x:f>
        <x:v>952</x:v>
      </x:c>
      <x:c r="F251" s="8" t="n">
        <x:f>D251-E251</x:f>
        <x:v>16071</x:v>
      </x:c>
      <x:c r="G251" s="8" t="n">
        <x:f>SUM('Source'!$Z$258,'Source'!$AB$258,'Source'!$AD$258,'Source'!$AF$258)</x:f>
        <x:v>9207</x:v>
      </x:c>
      <x:c r="H251" s="8" t="n">
        <x:f>'Source'!$AF$258</x:f>
        <x:v>5952</x:v>
      </x:c>
      <x:c r="I251" s="9" t="n">
        <x:f>IF(F251=0,"n.a.",G251/F251)</x:f>
        <x:v>0.5728952772073922</x:v>
      </x:c>
      <x:c r="J251" s="9" t="n">
        <x:f>IF(F251=0,"n.a.",H251/F251)</x:f>
        <x:v>0.37035654284114244</x:v>
      </x:c>
      <x:c r="K251" s="9" t="n">
        <x:f>IF(D251=0,"n.a.",E251/D251)</x:f>
        <x:v>0.05592433766081184</x:v>
      </x:c>
    </x:row>
    <x:row r="252" ht="22" customHeight="1">
      <x:c r="A252" s="6" t="str">
        <x:f>'Source'!$C$259</x:f>
        <x:v>Myrtle Beach-Conway-North Myrtle Beach, SC Metro Area</x:v>
      </x:c>
      <x:c r="B252" s="6" t="str">
        <x:f>'Source'!$B$259</x:f>
        <x:v>34820</x:v>
      </x:c>
      <x:c r="C252" s="7" t="n">
        <x:f>'Source'!$D$259</x:f>
        <x:v>2024</x:v>
      </x:c>
      <x:c r="D252" s="8" t="n">
        <x:f>'Source'!$N$259</x:f>
        <x:v>35419</x:v>
      </x:c>
      <x:c r="E252" s="8" t="n">
        <x:f>'Source'!$AH$259</x:f>
        <x:v>2457</x:v>
      </x:c>
      <x:c r="F252" s="8" t="n">
        <x:f>D252-E252</x:f>
        <x:v>32962</x:v>
      </x:c>
      <x:c r="G252" s="8" t="n">
        <x:f>SUM('Source'!$Z$259,'Source'!$AB$259,'Source'!$AD$259,'Source'!$AF$259)</x:f>
        <x:v>17700</x:v>
      </x:c>
      <x:c r="H252" s="8" t="n">
        <x:f>'Source'!$AF$259</x:f>
        <x:v>9048</x:v>
      </x:c>
      <x:c r="I252" s="9" t="n">
        <x:f>IF(F252=0,"n.a.",G252/F252)</x:f>
        <x:v>0.536981979248832</x:v>
      </x:c>
      <x:c r="J252" s="9" t="n">
        <x:f>IF(F252=0,"n.a.",H252/F252)</x:f>
        <x:v>0.2744979066804199</x:v>
      </x:c>
      <x:c r="K252" s="9" t="n">
        <x:f>IF(D252=0,"n.a.",E252/D252)</x:f>
        <x:v>0.06936954741805246</x:v>
      </x:c>
    </x:row>
    <x:row r="253" ht="22" customHeight="1">
      <x:c r="A253" s="6" t="str">
        <x:f>'Source'!$C$260</x:f>
        <x:v>Napa, CA Metro Area</x:v>
      </x:c>
      <x:c r="B253" s="6" t="str">
        <x:f>'Source'!$B$260</x:f>
        <x:v>34900</x:v>
      </x:c>
      <x:c r="C253" s="7" t="n">
        <x:f>'Source'!$D$260</x:f>
        <x:v>2024</x:v>
      </x:c>
      <x:c r="D253" s="8" t="n">
        <x:f>'Source'!$N$260</x:f>
        <x:v>17605</x:v>
      </x:c>
      <x:c r="E253" s="8" t="n">
        <x:f>'Source'!$AH$260</x:f>
        <x:v>699</x:v>
      </x:c>
      <x:c r="F253" s="8" t="n">
        <x:f>D253-E253</x:f>
        <x:v>16906</x:v>
      </x:c>
      <x:c r="G253" s="8" t="n">
        <x:f>SUM('Source'!$Z$260,'Source'!$AB$260,'Source'!$AD$260,'Source'!$AF$260)</x:f>
        <x:v>9174</x:v>
      </x:c>
      <x:c r="H253" s="8" t="n">
        <x:f>'Source'!$AF$260</x:f>
        <x:v>4669</x:v>
      </x:c>
      <x:c r="I253" s="9" t="n">
        <x:f>IF(F253=0,"n.a.",G253/F253)</x:f>
        <x:v>0.5426475807405655</x:v>
      </x:c>
      <x:c r="J253" s="9" t="n">
        <x:f>IF(F253=0,"n.a.",H253/F253)</x:f>
        <x:v>0.2761741393588075</x:v>
      </x:c>
      <x:c r="K253" s="9" t="n">
        <x:f>IF(D253=0,"n.a.",E253/D253)</x:f>
        <x:v>0.0397046293666572</x:v>
      </x:c>
    </x:row>
    <x:row r="254" ht="22" customHeight="1">
      <x:c r="A254" s="6" t="str">
        <x:f>'Source'!$C$261</x:f>
        <x:v>Naples-Marco Island, FL Metro Area</x:v>
      </x:c>
      <x:c r="B254" s="6" t="str">
        <x:f>'Source'!$B$261</x:f>
        <x:v>34940</x:v>
      </x:c>
      <x:c r="C254" s="7" t="n">
        <x:f>'Source'!$D$261</x:f>
        <x:v>2024</x:v>
      </x:c>
      <x:c r="D254" s="8" t="n">
        <x:f>'Source'!$N$261</x:f>
        <x:v>36876</x:v>
      </x:c>
      <x:c r="E254" s="8" t="n">
        <x:f>'Source'!$AH$261</x:f>
        <x:v>3081</x:v>
      </x:c>
      <x:c r="F254" s="8" t="n">
        <x:f>D254-E254</x:f>
        <x:v>33795</x:v>
      </x:c>
      <x:c r="G254" s="8" t="n">
        <x:f>SUM('Source'!$Z$261,'Source'!$AB$261,'Source'!$AD$261,'Source'!$AF$261)</x:f>
        <x:v>20466</x:v>
      </x:c>
      <x:c r="H254" s="8" t="n">
        <x:f>'Source'!$AF$261</x:f>
        <x:v>10680</x:v>
      </x:c>
      <x:c r="I254" s="9" t="n">
        <x:f>IF(F254=0,"n.a.",G254/F254)</x:f>
        <x:v>0.6055925432756325</x:v>
      </x:c>
      <x:c r="J254" s="9" t="n">
        <x:f>IF(F254=0,"n.a.",H254/F254)</x:f>
        <x:v>0.316023080337328</x:v>
      </x:c>
      <x:c r="K254" s="9" t="n">
        <x:f>IF(D254=0,"n.a.",E254/D254)</x:f>
        <x:v>0.08355027660266841</x:v>
      </x:c>
    </x:row>
    <x:row r="255" ht="22" customHeight="1">
      <x:c r="A255" s="6" t="str">
        <x:f>'Source'!$C$262</x:f>
        <x:v>Nashville-Davidson--Murfreesboro--Franklin, TN Metro Area</x:v>
      </x:c>
      <x:c r="B255" s="6" t="str">
        <x:f>'Source'!$B$262</x:f>
        <x:v>34980</x:v>
      </x:c>
      <x:c r="C255" s="7" t="n">
        <x:f>'Source'!$D$262</x:f>
        <x:v>2024</x:v>
      </x:c>
      <x:c r="D255" s="8" t="n">
        <x:f>'Source'!$N$262</x:f>
        <x:v>307415</x:v>
      </x:c>
      <x:c r="E255" s="8" t="n">
        <x:f>'Source'!$AH$262</x:f>
        <x:v>17234</x:v>
      </x:c>
      <x:c r="F255" s="8" t="n">
        <x:f>D255-E255</x:f>
        <x:v>290181</x:v>
      </x:c>
      <x:c r="G255" s="8" t="n">
        <x:f>SUM('Source'!$Z$262,'Source'!$AB$262,'Source'!$AD$262,'Source'!$AF$262)</x:f>
        <x:v>155071</x:v>
      </x:c>
      <x:c r="H255" s="8" t="n">
        <x:f>'Source'!$AF$262</x:f>
        <x:v>66623</x:v>
      </x:c>
      <x:c r="I255" s="9" t="n">
        <x:f>IF(F255=0,"n.a.",G255/F255)</x:f>
        <x:v>0.5343940506097918</x:v>
      </x:c>
      <x:c r="J255" s="9" t="n">
        <x:f>IF(F255=0,"n.a.",H255/F255)</x:f>
        <x:v>0.22959118619068788</x:v>
      </x:c>
      <x:c r="K255" s="9" t="n">
        <x:f>IF(D255=0,"n.a.",E255/D255)</x:f>
        <x:v>0.05606102499878015</x:v>
      </x:c>
    </x:row>
    <x:row r="256" ht="22" customHeight="1">
      <x:c r="A256" s="6" t="str">
        <x:f>'Source'!$C$263</x:f>
        <x:v>New Haven, CT Metro Area</x:v>
      </x:c>
      <x:c r="B256" s="6" t="str">
        <x:f>'Source'!$B$263</x:f>
        <x:v>35300</x:v>
      </x:c>
      <x:c r="C256" s="7" t="n">
        <x:f>'Source'!$D$263</x:f>
        <x:v>2024</x:v>
      </x:c>
      <x:c r="D256" s="8" t="n">
        <x:f>'Source'!$N$263</x:f>
        <x:v>91267</x:v>
      </x:c>
      <x:c r="E256" s="8" t="n">
        <x:f>'Source'!$AH$263</x:f>
        <x:v>3909</x:v>
      </x:c>
      <x:c r="F256" s="8" t="n">
        <x:f>D256-E256</x:f>
        <x:v>87358</x:v>
      </x:c>
      <x:c r="G256" s="8" t="n">
        <x:f>SUM('Source'!$Z$263,'Source'!$AB$263,'Source'!$AD$263,'Source'!$AF$263)</x:f>
        <x:v>46613</x:v>
      </x:c>
      <x:c r="H256" s="8" t="n">
        <x:f>'Source'!$AF$263</x:f>
        <x:v>23292</x:v>
      </x:c>
      <x:c r="I256" s="9" t="n">
        <x:f>IF(F256=0,"n.a.",G256/F256)</x:f>
        <x:v>0.5335859337439044</x:v>
      </x:c>
      <x:c r="J256" s="9" t="n">
        <x:f>IF(F256=0,"n.a.",H256/F256)</x:f>
        <x:v>0.2666269832184803</x:v>
      </x:c>
      <x:c r="K256" s="9" t="n">
        <x:f>IF(D256=0,"n.a.",E256/D256)</x:f>
        <x:v>0.04283037680651276</x:v>
      </x:c>
    </x:row>
    <x:row r="257" ht="22" customHeight="1">
      <x:c r="A257" s="6" t="str">
        <x:f>'Source'!$C$264</x:f>
        <x:v>New Orleans-Metairie, LA Metro Area</x:v>
      </x:c>
      <x:c r="B257" s="6" t="str">
        <x:f>'Source'!$B$264</x:f>
        <x:v>35380</x:v>
      </x:c>
      <x:c r="C257" s="7" t="n">
        <x:f>'Source'!$D$264</x:f>
        <x:v>2024</x:v>
      </x:c>
      <x:c r="D257" s="8" t="n">
        <x:f>'Source'!$N$264</x:f>
        <x:v>154367</x:v>
      </x:c>
      <x:c r="E257" s="8" t="n">
        <x:f>'Source'!$AH$264</x:f>
        <x:v>11775</x:v>
      </x:c>
      <x:c r="F257" s="8" t="n">
        <x:f>D257-E257</x:f>
        <x:v>142592</x:v>
      </x:c>
      <x:c r="G257" s="8" t="n">
        <x:f>SUM('Source'!$Z$264,'Source'!$AB$264,'Source'!$AD$264,'Source'!$AF$264)</x:f>
        <x:v>83616</x:v>
      </x:c>
      <x:c r="H257" s="8" t="n">
        <x:f>'Source'!$AF$264</x:f>
        <x:v>44298</x:v>
      </x:c>
      <x:c r="I257" s="9" t="n">
        <x:f>IF(F257=0,"n.a.",G257/F257)</x:f>
        <x:v>0.5864003590664273</x:v>
      </x:c>
      <x:c r="J257" s="9" t="n">
        <x:f>IF(F257=0,"n.a.",H257/F257)</x:f>
        <x:v>0.3106625897666068</x:v>
      </x:c>
      <x:c r="K257" s="9" t="n">
        <x:f>IF(D257=0,"n.a.",E257/D257)</x:f>
        <x:v>0.07627925657685905</x:v>
      </x:c>
    </x:row>
    <x:row r="258" ht="22" customHeight="1">
      <x:c r="A258" s="6" t="str">
        <x:f>'Source'!$C$265</x:f>
        <x:v>New York-Newark-Jersey City, NY-NJ Metro Area</x:v>
      </x:c>
      <x:c r="B258" s="6" t="str">
        <x:f>'Source'!$B$265</x:f>
        <x:v>35620</x:v>
      </x:c>
      <x:c r="C258" s="7" t="n">
        <x:f>'Source'!$D$265</x:f>
        <x:v>2024</x:v>
      </x:c>
      <x:c r="D258" s="8" t="n">
        <x:f>'Source'!$N$265</x:f>
        <x:v>3653646</x:v>
      </x:c>
      <x:c r="E258" s="8" t="n">
        <x:f>'Source'!$AH$265</x:f>
        <x:v>188268</x:v>
      </x:c>
      <x:c r="F258" s="8" t="n">
        <x:f>D258-E258</x:f>
        <x:v>3465378</x:v>
      </x:c>
      <x:c r="G258" s="8" t="n">
        <x:f>SUM('Source'!$Z$265,'Source'!$AB$265,'Source'!$AD$265,'Source'!$AF$265)</x:f>
        <x:v>1801195</x:v>
      </x:c>
      <x:c r="H258" s="8" t="n">
        <x:f>'Source'!$AF$265</x:f>
        <x:v>970510</x:v>
      </x:c>
      <x:c r="I258" s="9" t="n">
        <x:f>IF(F258=0,"n.a.",G258/F258)</x:f>
        <x:v>0.5197686947859657</x:v>
      </x:c>
      <x:c r="J258" s="9" t="n">
        <x:f>IF(F258=0,"n.a.",H258/F258)</x:f>
        <x:v>0.2800589142079161</x:v>
      </x:c>
      <x:c r="K258" s="9" t="n">
        <x:f>IF(D258=0,"n.a.",E258/D258)</x:f>
        <x:v>0.051528801640881465</x:v>
      </x:c>
    </x:row>
    <x:row r="259" ht="22" customHeight="1">
      <x:c r="A259" s="6" t="str">
        <x:f>'Source'!$C$266</x:f>
        <x:v>Niles, MI Metro Area</x:v>
      </x:c>
      <x:c r="B259" s="6" t="str">
        <x:f>'Source'!$B$266</x:f>
        <x:v>35660</x:v>
      </x:c>
      <x:c r="C259" s="7" t="n">
        <x:f>'Source'!$D$266</x:f>
        <x:v>2024</x:v>
      </x:c>
      <x:c r="D259" s="8" t="n">
        <x:f>'Source'!$N$266</x:f>
        <x:v>15713</x:v>
      </x:c>
      <x:c r="E259" s="8" t="n">
        <x:f>'Source'!$AH$266</x:f>
        <x:v>2313</x:v>
      </x:c>
      <x:c r="F259" s="8" t="n">
        <x:f>D259-E259</x:f>
        <x:v>13400</x:v>
      </x:c>
      <x:c r="G259" s="8" t="n">
        <x:f>SUM('Source'!$Z$266,'Source'!$AB$266,'Source'!$AD$266,'Source'!$AF$266)</x:f>
        <x:v>6949</x:v>
      </x:c>
      <x:c r="H259" s="8" t="n">
        <x:f>'Source'!$AF$266</x:f>
        <x:v>2306</x:v>
      </x:c>
      <x:c r="I259" s="9" t="n">
        <x:f>IF(F259=0,"n.a.",G259/F259)</x:f>
        <x:v>0.5185820895522388</x:v>
      </x:c>
      <x:c r="J259" s="9" t="n">
        <x:f>IF(F259=0,"n.a.",H259/F259)</x:f>
        <x:v>0.17208955223880598</x:v>
      </x:c>
      <x:c r="K259" s="9" t="n">
        <x:f>IF(D259=0,"n.a.",E259/D259)</x:f>
        <x:v>0.14720295296887928</x:v>
      </x:c>
    </x:row>
    <x:row r="260" ht="22" customHeight="1">
      <x:c r="A260" s="6" t="str">
        <x:f>'Source'!$C$267</x:f>
        <x:v>North Port-Bradenton-Sarasota, FL Metro Area</x:v>
      </x:c>
      <x:c r="B260" s="6" t="str">
        <x:f>'Source'!$B$267</x:f>
        <x:v>35840</x:v>
      </x:c>
      <x:c r="C260" s="7" t="n">
        <x:f>'Source'!$D$267</x:f>
        <x:v>2024</x:v>
      </x:c>
      <x:c r="D260" s="8" t="n">
        <x:f>'Source'!$N$267</x:f>
        <x:v>99475</x:v>
      </x:c>
      <x:c r="E260" s="8" t="n">
        <x:f>'Source'!$AH$267</x:f>
        <x:v>5836</x:v>
      </x:c>
      <x:c r="F260" s="8" t="n">
        <x:f>D260-E260</x:f>
        <x:v>93639</x:v>
      </x:c>
      <x:c r="G260" s="8" t="n">
        <x:f>SUM('Source'!$Z$267,'Source'!$AB$267,'Source'!$AD$267,'Source'!$AF$267)</x:f>
        <x:v>60489</x:v>
      </x:c>
      <x:c r="H260" s="8" t="n">
        <x:f>'Source'!$AF$267</x:f>
        <x:v>31410</x:v>
      </x:c>
      <x:c r="I260" s="9" t="n">
        <x:f>IF(F260=0,"n.a.",G260/F260)</x:f>
        <x:v>0.6459808413161183</x:v>
      </x:c>
      <x:c r="J260" s="9" t="n">
        <x:f>IF(F260=0,"n.a.",H260/F260)</x:f>
        <x:v>0.335437157594592</x:v>
      </x:c>
      <x:c r="K260" s="9" t="n">
        <x:f>IF(D260=0,"n.a.",E260/D260)</x:f>
        <x:v>0.058668007036943956</x:v>
      </x:c>
    </x:row>
    <x:row r="261" ht="22" customHeight="1">
      <x:c r="A261" s="6" t="str">
        <x:f>'Source'!$C$268</x:f>
        <x:v>Norwich-New London-Willimantic, CT Metro Area</x:v>
      </x:c>
      <x:c r="B261" s="6" t="str">
        <x:f>'Source'!$B$268</x:f>
        <x:v>35980</x:v>
      </x:c>
      <x:c r="C261" s="7" t="n">
        <x:f>'Source'!$D$268</x:f>
        <x:v>2024</x:v>
      </x:c>
      <x:c r="D261" s="8" t="n">
        <x:f>'Source'!$N$268</x:f>
        <x:v>41489</x:v>
      </x:c>
      <x:c r="E261" s="8" t="n">
        <x:f>'Source'!$AH$268</x:f>
        <x:v>1915</x:v>
      </x:c>
      <x:c r="F261" s="8" t="n">
        <x:f>D261-E261</x:f>
        <x:v>39574</x:v>
      </x:c>
      <x:c r="G261" s="8" t="n">
        <x:f>SUM('Source'!$Z$268,'Source'!$AB$268,'Source'!$AD$268,'Source'!$AF$268)</x:f>
        <x:v>21051</x:v>
      </x:c>
      <x:c r="H261" s="8" t="n">
        <x:f>'Source'!$AF$268</x:f>
        <x:v>8663</x:v>
      </x:c>
      <x:c r="I261" s="9" t="n">
        <x:f>IF(F261=0,"n.a.",G261/F261)</x:f>
        <x:v>0.5319401627331076</x:v>
      </x:c>
      <x:c r="J261" s="9" t="n">
        <x:f>IF(F261=0,"n.a.",H261/F261)</x:f>
        <x:v>0.2189063526557841</x:v>
      </x:c>
      <x:c r="K261" s="9" t="n">
        <x:f>IF(D261=0,"n.a.",E261/D261)</x:f>
        <x:v>0.04615681264913592</x:v>
      </x:c>
    </x:row>
    <x:row r="262" ht="22" customHeight="1">
      <x:c r="A262" s="6" t="str">
        <x:f>'Source'!$C$269</x:f>
        <x:v>Ocala, FL Metro Area</x:v>
      </x:c>
      <x:c r="B262" s="6" t="str">
        <x:f>'Source'!$B$269</x:f>
        <x:v>36100</x:v>
      </x:c>
      <x:c r="C262" s="7" t="n">
        <x:f>'Source'!$D$269</x:f>
        <x:v>2024</x:v>
      </x:c>
      <x:c r="D262" s="8" t="n">
        <x:f>'Source'!$N$269</x:f>
        <x:v>39104</x:v>
      </x:c>
      <x:c r="E262" s="8" t="n">
        <x:f>'Source'!$AH$269</x:f>
        <x:v>3800</x:v>
      </x:c>
      <x:c r="F262" s="8" t="n">
        <x:f>D262-E262</x:f>
        <x:v>35304</x:v>
      </x:c>
      <x:c r="G262" s="8" t="n">
        <x:f>SUM('Source'!$Z$269,'Source'!$AB$269,'Source'!$AD$269,'Source'!$AF$269)</x:f>
        <x:v>19135</x:v>
      </x:c>
      <x:c r="H262" s="8" t="n">
        <x:f>'Source'!$AF$269</x:f>
        <x:v>9031</x:v>
      </x:c>
      <x:c r="I262" s="9" t="n">
        <x:f>IF(F262=0,"n.a.",G262/F262)</x:f>
        <x:v>0.5420065714933152</x:v>
      </x:c>
      <x:c r="J262" s="9" t="n">
        <x:f>IF(F262=0,"n.a.",H262/F262)</x:f>
        <x:v>0.25580670745524586</x:v>
      </x:c>
      <x:c r="K262" s="9" t="n">
        <x:f>IF(D262=0,"n.a.",E262/D262)</x:f>
        <x:v>0.09717675941080196</x:v>
      </x:c>
    </x:row>
    <x:row r="263" ht="22" customHeight="1">
      <x:c r="A263" s="6" t="str">
        <x:f>'Source'!$C$270</x:f>
        <x:v>Odessa, TX Metro Area</x:v>
      </x:c>
      <x:c r="B263" s="6" t="str">
        <x:f>'Source'!$B$270</x:f>
        <x:v>36220</x:v>
      </x:c>
      <x:c r="C263" s="7" t="n">
        <x:f>'Source'!$D$270</x:f>
        <x:v>2024</x:v>
      </x:c>
      <x:c r="D263" s="8" t="n">
        <x:f>'Source'!$N$270</x:f>
        <x:v>24292</x:v>
      </x:c>
      <x:c r="E263" s="8" t="n">
        <x:f>'Source'!$AH$270</x:f>
        <x:v>2302</x:v>
      </x:c>
      <x:c r="F263" s="8" t="n">
        <x:f>D263-E263</x:f>
        <x:v>21990</x:v>
      </x:c>
      <x:c r="G263" s="8" t="n">
        <x:f>SUM('Source'!$Z$270,'Source'!$AB$270,'Source'!$AD$270,'Source'!$AF$270)</x:f>
        <x:v>10422</x:v>
      </x:c>
      <x:c r="H263" s="8" t="n">
        <x:f>'Source'!$AF$270</x:f>
        <x:v>5360</x:v>
      </x:c>
      <x:c r="I263" s="9" t="n">
        <x:f>IF(F263=0,"n.a.",G263/F263)</x:f>
        <x:v>0.47394270122783083</x:v>
      </x:c>
      <x:c r="J263" s="9" t="n">
        <x:f>IF(F263=0,"n.a.",H263/F263)</x:f>
        <x:v>0.24374715779899955</x:v>
      </x:c>
      <x:c r="K263" s="9" t="n">
        <x:f>IF(D263=0,"n.a.",E263/D263)</x:f>
        <x:v>0.09476370821669686</x:v>
      </x:c>
    </x:row>
    <x:row r="264" ht="22" customHeight="1">
      <x:c r="A264" s="6" t="str">
        <x:f>'Source'!$C$271</x:f>
        <x:v>Ogden, UT Metro Area</x:v>
      </x:c>
      <x:c r="B264" s="6" t="str">
        <x:f>'Source'!$B$271</x:f>
        <x:v>36260</x:v>
      </x:c>
      <x:c r="C264" s="7" t="n">
        <x:f>'Source'!$D$271</x:f>
        <x:v>2024</x:v>
      </x:c>
      <x:c r="D264" s="8" t="n">
        <x:f>'Source'!$N$271</x:f>
        <x:v>55902</x:v>
      </x:c>
      <x:c r="E264" s="8" t="n">
        <x:f>'Source'!$AH$271</x:f>
        <x:v>3314</x:v>
      </x:c>
      <x:c r="F264" s="8" t="n">
        <x:f>D264-E264</x:f>
        <x:v>52588</x:v>
      </x:c>
      <x:c r="G264" s="8" t="n">
        <x:f>SUM('Source'!$Z$271,'Source'!$AB$271,'Source'!$AD$271,'Source'!$AF$271)</x:f>
        <x:v>26668</x:v>
      </x:c>
      <x:c r="H264" s="8" t="n">
        <x:f>'Source'!$AF$271</x:f>
        <x:v>10173</x:v>
      </x:c>
      <x:c r="I264" s="9" t="n">
        <x:f>IF(F264=0,"n.a.",G264/F264)</x:f>
        <x:v>0.5071118886437971</x:v>
      </x:c>
      <x:c r="J264" s="9" t="n">
        <x:f>IF(F264=0,"n.a.",H264/F264)</x:f>
        <x:v>0.1934471742602875</x:v>
      </x:c>
      <x:c r="K264" s="9" t="n">
        <x:f>IF(D264=0,"n.a.",E264/D264)</x:f>
        <x:v>0.05928231548066259</x:v>
      </x:c>
    </x:row>
    <x:row r="265" ht="22" customHeight="1">
      <x:c r="A265" s="6" t="str">
        <x:f>'Source'!$C$272</x:f>
        <x:v>Oklahoma City, OK Metro Area</x:v>
      </x:c>
      <x:c r="B265" s="6" t="str">
        <x:f>'Source'!$B$272</x:f>
        <x:v>36420</x:v>
      </x:c>
      <x:c r="C265" s="7" t="n">
        <x:f>'Source'!$D$272</x:f>
        <x:v>2024</x:v>
      </x:c>
      <x:c r="D265" s="8" t="n">
        <x:f>'Source'!$N$272</x:f>
        <x:v>216572</x:v>
      </x:c>
      <x:c r="E265" s="8" t="n">
        <x:f>'Source'!$AH$272</x:f>
        <x:v>17354</x:v>
      </x:c>
      <x:c r="F265" s="8" t="n">
        <x:f>D265-E265</x:f>
        <x:v>199218</x:v>
      </x:c>
      <x:c r="G265" s="8" t="n">
        <x:f>SUM('Source'!$Z$272,'Source'!$AB$272,'Source'!$AD$272,'Source'!$AF$272)</x:f>
        <x:v>95534</x:v>
      </x:c>
      <x:c r="H265" s="8" t="n">
        <x:f>'Source'!$AF$272</x:f>
        <x:v>46070</x:v>
      </x:c>
      <x:c r="I265" s="9" t="n">
        <x:f>IF(F265=0,"n.a.",G265/F265)</x:f>
        <x:v>0.47954502103223606</x:v>
      </x:c>
      <x:c r="J265" s="9" t="n">
        <x:f>IF(F265=0,"n.a.",H265/F265)</x:f>
        <x:v>0.2312542039373952</x:v>
      </x:c>
      <x:c r="K265" s="9" t="n">
        <x:f>IF(D265=0,"n.a.",E265/D265)</x:f>
        <x:v>0.08013039543431284</x:v>
      </x:c>
    </x:row>
    <x:row r="266" ht="22" customHeight="1">
      <x:c r="A266" s="6" t="str">
        <x:f>'Source'!$C$273</x:f>
        <x:v>Olympia-Lacey-Tumwater, WA Metro Area</x:v>
      </x:c>
      <x:c r="B266" s="6" t="str">
        <x:f>'Source'!$B$273</x:f>
        <x:v>36500</x:v>
      </x:c>
      <x:c r="C266" s="7" t="n">
        <x:f>'Source'!$D$273</x:f>
        <x:v>2024</x:v>
      </x:c>
      <x:c r="D266" s="8" t="n">
        <x:f>'Source'!$N$273</x:f>
        <x:v>38513</x:v>
      </x:c>
      <x:c r="E266" s="8" t="n">
        <x:f>'Source'!$AH$273</x:f>
        <x:v>1537</x:v>
      </x:c>
      <x:c r="F266" s="8" t="n">
        <x:f>D266-E266</x:f>
        <x:v>36976</x:v>
      </x:c>
      <x:c r="G266" s="8" t="n">
        <x:f>SUM('Source'!$Z$273,'Source'!$AB$273,'Source'!$AD$273,'Source'!$AF$273)</x:f>
        <x:v>21004</x:v>
      </x:c>
      <x:c r="H266" s="8" t="n">
        <x:f>'Source'!$AF$273</x:f>
        <x:v>9336</x:v>
      </x:c>
      <x:c r="I266" s="9" t="n">
        <x:f>IF(F266=0,"n.a.",G266/F266)</x:f>
        <x:v>0.5680441367373431</x:v>
      </x:c>
      <x:c r="J266" s="9" t="n">
        <x:f>IF(F266=0,"n.a.",H266/F266)</x:f>
        <x:v>0.2524881003894418</x:v>
      </x:c>
      <x:c r="K266" s="9" t="n">
        <x:f>IF(D266=0,"n.a.",E266/D266)</x:f>
        <x:v>0.0399086022901358</x:v>
      </x:c>
    </x:row>
    <x:row r="267" ht="22" customHeight="1">
      <x:c r="A267" s="6" t="str">
        <x:f>'Source'!$C$274</x:f>
        <x:v>Omaha, NE-IA Metro Area</x:v>
      </x:c>
      <x:c r="B267" s="6" t="str">
        <x:f>'Source'!$B$274</x:f>
        <x:v>36540</x:v>
      </x:c>
      <x:c r="C267" s="7" t="n">
        <x:f>'Source'!$D$274</x:f>
        <x:v>2024</x:v>
      </x:c>
      <x:c r="D267" s="8" t="n">
        <x:f>'Source'!$N$274</x:f>
        <x:v>137421</x:v>
      </x:c>
      <x:c r="E267" s="8" t="n">
        <x:f>'Source'!$AH$274</x:f>
        <x:v>6104</x:v>
      </x:c>
      <x:c r="F267" s="8" t="n">
        <x:f>D267-E267</x:f>
        <x:v>131317</x:v>
      </x:c>
      <x:c r="G267" s="8" t="n">
        <x:f>SUM('Source'!$Z$274,'Source'!$AB$274,'Source'!$AD$274,'Source'!$AF$274)</x:f>
        <x:v>62735</x:v>
      </x:c>
      <x:c r="H267" s="8" t="n">
        <x:f>'Source'!$AF$274</x:f>
        <x:v>28013</x:v>
      </x:c>
      <x:c r="I267" s="9" t="n">
        <x:f>IF(F267=0,"n.a.",G267/F267)</x:f>
        <x:v>0.47773707897682705</x:v>
      </x:c>
      <x:c r="J267" s="9" t="n">
        <x:f>IF(F267=0,"n.a.",H267/F267)</x:f>
        <x:v>0.21332348439272905</x:v>
      </x:c>
      <x:c r="K267" s="9" t="n">
        <x:f>IF(D267=0,"n.a.",E267/D267)</x:f>
        <x:v>0.04441824757497034</x:v>
      </x:c>
    </x:row>
    <x:row r="268" ht="22" customHeight="1">
      <x:c r="A268" s="6" t="str">
        <x:f>'Source'!$C$275</x:f>
        <x:v>Orlando-Kissimmee-Sanford, FL Metro Area</x:v>
      </x:c>
      <x:c r="B268" s="6" t="str">
        <x:f>'Source'!$B$275</x:f>
        <x:v>36740</x:v>
      </x:c>
      <x:c r="C268" s="7" t="n">
        <x:f>'Source'!$D$275</x:f>
        <x:v>2024</x:v>
      </x:c>
      <x:c r="D268" s="8" t="n">
        <x:f>'Source'!$N$275</x:f>
        <x:v>419673</x:v>
      </x:c>
      <x:c r="E268" s="8" t="n">
        <x:f>'Source'!$AH$275</x:f>
        <x:v>24619</x:v>
      </x:c>
      <x:c r="F268" s="8" t="n">
        <x:f>D268-E268</x:f>
        <x:v>395054</x:v>
      </x:c>
      <x:c r="G268" s="8" t="n">
        <x:f>SUM('Source'!$Z$275,'Source'!$AB$275,'Source'!$AD$275,'Source'!$AF$275)</x:f>
        <x:v>245266</x:v>
      </x:c>
      <x:c r="H268" s="8" t="n">
        <x:f>'Source'!$AF$275</x:f>
        <x:v>118452</x:v>
      </x:c>
      <x:c r="I268" s="9" t="n">
        <x:f>IF(F268=0,"n.a.",G268/F268)</x:f>
        <x:v>0.6208417077159072</x:v>
      </x:c>
      <x:c r="J268" s="9" t="n">
        <x:f>IF(F268=0,"n.a.",H268/F268)</x:f>
        <x:v>0.2998374905709093</x:v>
      </x:c>
      <x:c r="K268" s="9" t="n">
        <x:f>IF(D268=0,"n.a.",E268/D268)</x:f>
        <x:v>0.05866233948812528</x:v>
      </x:c>
    </x:row>
    <x:row r="269" ht="22" customHeight="1">
      <x:c r="A269" s="6" t="str">
        <x:f>'Source'!$C$276</x:f>
        <x:v>Oshkosh-Neenah, WI Metro Area</x:v>
      </x:c>
      <x:c r="B269" s="6" t="str">
        <x:f>'Source'!$B$276</x:f>
        <x:v>36780</x:v>
      </x:c>
      <x:c r="C269" s="7" t="n">
        <x:f>'Source'!$D$276</x:f>
        <x:v>2024</x:v>
      </x:c>
      <x:c r="D269" s="8" t="n">
        <x:f>'Source'!$N$276</x:f>
        <x:v>25542</x:v>
      </x:c>
      <x:c r="E269" s="8" t="n">
        <x:f>'Source'!$AH$276</x:f>
        <x:v>780</x:v>
      </x:c>
      <x:c r="F269" s="8" t="n">
        <x:f>D269-E269</x:f>
        <x:v>24762</x:v>
      </x:c>
      <x:c r="G269" s="8" t="n">
        <x:f>SUM('Source'!$Z$276,'Source'!$AB$276,'Source'!$AD$276,'Source'!$AF$276)</x:f>
        <x:v>10401</x:v>
      </x:c>
      <x:c r="H269" s="8" t="n">
        <x:f>'Source'!$AF$276</x:f>
        <x:v>5709</x:v>
      </x:c>
      <x:c r="I269" s="9" t="n">
        <x:f>IF(F269=0,"n.a.",G269/F269)</x:f>
        <x:v>0.4200387690816574</x:v>
      </x:c>
      <x:c r="J269" s="9" t="n">
        <x:f>IF(F269=0,"n.a.",H269/F269)</x:f>
        <x:v>0.23055488248122122</x:v>
      </x:c>
      <x:c r="K269" s="9" t="n">
        <x:f>IF(D269=0,"n.a.",E269/D269)</x:f>
        <x:v>0.0305379375146817</x:v>
      </x:c>
    </x:row>
    <x:row r="270" ht="22" customHeight="1">
      <x:c r="A270" s="6" t="str">
        <x:f>'Source'!$C$277</x:f>
        <x:v>Owensboro, KY Metro Area</x:v>
      </x:c>
      <x:c r="B270" s="6" t="str">
        <x:f>'Source'!$B$277</x:f>
        <x:v>36980</x:v>
      </x:c>
      <x:c r="C270" s="7" t="n">
        <x:f>'Source'!$D$277</x:f>
        <x:v>2024</x:v>
      </x:c>
      <x:c r="D270" s="8" t="n">
        <x:f>'Source'!$N$277</x:f>
        <x:v>12705</x:v>
      </x:c>
      <x:c r="E270" s="8" t="n">
        <x:f>'Source'!$AH$277</x:f>
        <x:v>1951</x:v>
      </x:c>
      <x:c r="F270" s="8" t="n">
        <x:f>D270-E270</x:f>
        <x:v>10754</x:v>
      </x:c>
      <x:c r="G270" s="8" t="n">
        <x:f>SUM('Source'!$Z$277,'Source'!$AB$277,'Source'!$AD$277,'Source'!$AF$277)</x:f>
        <x:v>5008</x:v>
      </x:c>
      <x:c r="H270" s="8" t="n">
        <x:f>'Source'!$AF$277</x:f>
        <x:v>1718</x:v>
      </x:c>
      <x:c r="I270" s="9" t="n">
        <x:f>IF(F270=0,"n.a.",G270/F270)</x:f>
        <x:v>0.4656871861632881</x:v>
      </x:c>
      <x:c r="J270" s="9" t="n">
        <x:f>IF(F270=0,"n.a.",H270/F270)</x:f>
        <x:v>0.15975450994978613</x:v>
      </x:c>
      <x:c r="K270" s="9" t="n">
        <x:f>IF(D270=0,"n.a.",E270/D270)</x:f>
        <x:v>0.15356158992522628</x:v>
      </x:c>
    </x:row>
    <x:row r="271" ht="22" customHeight="1">
      <x:c r="A271" s="6" t="str">
        <x:f>'Source'!$C$278</x:f>
        <x:v>Oxnard-Thousand Oaks-Ventura, CA Metro Area</x:v>
      </x:c>
      <x:c r="B271" s="6" t="str">
        <x:f>'Source'!$B$278</x:f>
        <x:v>37100</x:v>
      </x:c>
      <x:c r="C271" s="7" t="n">
        <x:f>'Source'!$D$278</x:f>
        <x:v>2024</x:v>
      </x:c>
      <x:c r="D271" s="8" t="n">
        <x:f>'Source'!$N$278</x:f>
        <x:v>96282</x:v>
      </x:c>
      <x:c r="E271" s="8" t="n">
        <x:f>'Source'!$AH$278</x:f>
        <x:v>3721</x:v>
      </x:c>
      <x:c r="F271" s="8" t="n">
        <x:f>D271-E271</x:f>
        <x:v>92561</x:v>
      </x:c>
      <x:c r="G271" s="8" t="n">
        <x:f>SUM('Source'!$Z$278,'Source'!$AB$278,'Source'!$AD$278,'Source'!$AF$278)</x:f>
        <x:v>52658</x:v>
      </x:c>
      <x:c r="H271" s="8" t="n">
        <x:f>'Source'!$AF$278</x:f>
        <x:v>25948</x:v>
      </x:c>
      <x:c r="I271" s="9" t="n">
        <x:f>IF(F271=0,"n.a.",G271/F271)</x:f>
        <x:v>0.5689005088536209</x:v>
      </x:c>
      <x:c r="J271" s="9" t="n">
        <x:f>IF(F271=0,"n.a.",H271/F271)</x:f>
        <x:v>0.28033404997785244</x:v>
      </x:c>
      <x:c r="K271" s="9" t="n">
        <x:f>IF(D271=0,"n.a.",E271/D271)</x:f>
        <x:v>0.03864689142311128</x:v>
      </x:c>
    </x:row>
    <x:row r="272" ht="22" customHeight="1">
      <x:c r="A272" s="6" t="str">
        <x:f>'Source'!$C$279</x:f>
        <x:v>Paducah, KY-IL Metro Area</x:v>
      </x:c>
      <x:c r="B272" s="6" t="str">
        <x:f>'Source'!$B$279</x:f>
        <x:v>37140</x:v>
      </x:c>
      <x:c r="C272" s="7" t="n">
        <x:f>'Source'!$D$279</x:f>
        <x:v>2024</x:v>
      </x:c>
      <x:c r="D272" s="8" t="n">
        <x:f>'Source'!$N$279</x:f>
        <x:v>12098</x:v>
      </x:c>
      <x:c r="E272" s="8" t="n">
        <x:f>'Source'!$AH$279</x:f>
        <x:v>1695</x:v>
      </x:c>
      <x:c r="F272" s="8" t="n">
        <x:f>D272-E272</x:f>
        <x:v>10403</x:v>
      </x:c>
      <x:c r="G272" s="8" t="n">
        <x:f>SUM('Source'!$Z$279,'Source'!$AB$279,'Source'!$AD$279,'Source'!$AF$279)</x:f>
        <x:v>4013</x:v>
      </x:c>
      <x:c r="H272" s="8" t="n">
        <x:f>'Source'!$AF$279</x:f>
        <x:v>2486</x:v>
      </x:c>
      <x:c r="I272" s="9" t="n">
        <x:f>IF(F272=0,"n.a.",G272/F272)</x:f>
        <x:v>0.38575410939152166</x:v>
      </x:c>
      <x:c r="J272" s="9" t="n">
        <x:f>IF(F272=0,"n.a.",H272/F272)</x:f>
        <x:v>0.23896952802076324</x:v>
      </x:c>
      <x:c r="K272" s="9" t="n">
        <x:f>IF(D272=0,"n.a.",E272/D272)</x:f>
        <x:v>0.14010580261200198</x:v>
      </x:c>
    </x:row>
    <x:row r="273" ht="22" customHeight="1">
      <x:c r="A273" s="6" t="str">
        <x:f>'Source'!$C$280</x:f>
        <x:v>Palm Bay-Melbourne-Titusville, FL Metro Area</x:v>
      </x:c>
      <x:c r="B273" s="6" t="str">
        <x:f>'Source'!$B$280</x:f>
        <x:v>37340</x:v>
      </x:c>
      <x:c r="C273" s="7" t="n">
        <x:f>'Source'!$D$280</x:f>
        <x:v>2024</x:v>
      </x:c>
      <x:c r="D273" s="8" t="n">
        <x:f>'Source'!$N$280</x:f>
        <x:v>62326</x:v>
      </x:c>
      <x:c r="E273" s="8" t="n">
        <x:f>'Source'!$AH$280</x:f>
        <x:v>4312</x:v>
      </x:c>
      <x:c r="F273" s="8" t="n">
        <x:f>D273-E273</x:f>
        <x:v>58014</x:v>
      </x:c>
      <x:c r="G273" s="8" t="n">
        <x:f>SUM('Source'!$Z$280,'Source'!$AB$280,'Source'!$AD$280,'Source'!$AF$280)</x:f>
        <x:v>34093</x:v>
      </x:c>
      <x:c r="H273" s="8" t="n">
        <x:f>'Source'!$AF$280</x:f>
        <x:v>18434</x:v>
      </x:c>
      <x:c r="I273" s="9" t="n">
        <x:f>IF(F273=0,"n.a.",G273/F273)</x:f>
        <x:v>0.5876684938118385</x:v>
      </x:c>
      <x:c r="J273" s="9" t="n">
        <x:f>IF(F273=0,"n.a.",H273/F273)</x:f>
        <x:v>0.317750887716758</x:v>
      </x:c>
      <x:c r="K273" s="9" t="n">
        <x:f>IF(D273=0,"n.a.",E273/D273)</x:f>
        <x:v>0.06918460995411224</x:v>
      </x:c>
    </x:row>
    <x:row r="274" ht="22" customHeight="1">
      <x:c r="A274" s="6" t="str">
        <x:f>'Source'!$C$281</x:f>
        <x:v>Panama City-Panama City Beach, FL Metro Area</x:v>
      </x:c>
      <x:c r="B274" s="6" t="str">
        <x:f>'Source'!$B$281</x:f>
        <x:v>37460</x:v>
      </x:c>
      <x:c r="C274" s="7" t="n">
        <x:f>'Source'!$D$281</x:f>
        <x:v>2024</x:v>
      </x:c>
      <x:c r="D274" s="8" t="n">
        <x:f>'Source'!$N$281</x:f>
        <x:v>30598</x:v>
      </x:c>
      <x:c r="E274" s="8" t="n">
        <x:f>'Source'!$AH$281</x:f>
        <x:v>2181</x:v>
      </x:c>
      <x:c r="F274" s="8" t="n">
        <x:f>D274-E274</x:f>
        <x:v>28417</x:v>
      </x:c>
      <x:c r="G274" s="8" t="n">
        <x:f>SUM('Source'!$Z$281,'Source'!$AB$281,'Source'!$AD$281,'Source'!$AF$281)</x:f>
        <x:v>16278</x:v>
      </x:c>
      <x:c r="H274" s="8" t="n">
        <x:f>'Source'!$AF$281</x:f>
        <x:v>6716</x:v>
      </x:c>
      <x:c r="I274" s="9" t="n">
        <x:f>IF(F274=0,"n.a.",G274/F274)</x:f>
        <x:v>0.5728261252067425</x:v>
      </x:c>
      <x:c r="J274" s="9" t="n">
        <x:f>IF(F274=0,"n.a.",H274/F274)</x:f>
        <x:v>0.23633740366681916</x:v>
      </x:c>
      <x:c r="K274" s="9" t="n">
        <x:f>IF(D274=0,"n.a.",E274/D274)</x:f>
        <x:v>0.07127916857310936</x:v>
      </x:c>
    </x:row>
    <x:row r="275" ht="22" customHeight="1">
      <x:c r="A275" s="6" t="str">
        <x:f>'Source'!$C$282</x:f>
        <x:v>Parkersburg-Vienna, WV Metro Area</x:v>
      </x:c>
      <x:c r="B275" s="6" t="str">
        <x:f>'Source'!$B$282</x:f>
        <x:v>37620</x:v>
      </x:c>
      <x:c r="C275" s="7" t="n">
        <x:f>'Source'!$D$282</x:f>
        <x:v>2024</x:v>
      </x:c>
      <x:c r="D275" s="8" t="n">
        <x:f>'Source'!$N$282</x:f>
        <x:v>9265</x:v>
      </x:c>
      <x:c r="E275" s="8" t="n">
        <x:f>'Source'!$AH$282</x:f>
        <x:v>924</x:v>
      </x:c>
      <x:c r="F275" s="8" t="n">
        <x:f>D275-E275</x:f>
        <x:v>8341</x:v>
      </x:c>
      <x:c r="G275" s="8" t="n">
        <x:f>SUM('Source'!$Z$282,'Source'!$AB$282,'Source'!$AD$282,'Source'!$AF$282)</x:f>
        <x:v>4173</x:v>
      </x:c>
      <x:c r="H275" s="8" t="n">
        <x:f>'Source'!$AF$282</x:f>
        <x:v>1874</x:v>
      </x:c>
      <x:c r="I275" s="9" t="n">
        <x:f>IF(F275=0,"n.a.",G275/F275)</x:f>
        <x:v>0.5002997242536866</x:v>
      </x:c>
      <x:c r="J275" s="9" t="n">
        <x:f>IF(F275=0,"n.a.",H275/F275)</x:f>
        <x:v>0.2246733005634816</x:v>
      </x:c>
      <x:c r="K275" s="9" t="n">
        <x:f>IF(D275=0,"n.a.",E275/D275)</x:f>
        <x:v>0.0997301672962763</x:v>
      </x:c>
    </x:row>
    <x:row r="276" ht="22" customHeight="1">
      <x:c r="A276" s="6" t="str">
        <x:f>'Source'!$C$283</x:f>
        <x:v>Pensacola-Ferry Pass-Brent, FL Metro Area</x:v>
      </x:c>
      <x:c r="B276" s="6" t="str">
        <x:f>'Source'!$B$283</x:f>
        <x:v>37860</x:v>
      </x:c>
      <x:c r="C276" s="7" t="n">
        <x:f>'Source'!$D$283</x:f>
        <x:v>2024</x:v>
      </x:c>
      <x:c r="D276" s="8" t="n">
        <x:f>'Source'!$N$283</x:f>
        <x:v>58097</x:v>
      </x:c>
      <x:c r="E276" s="8" t="n">
        <x:f>'Source'!$AH$283</x:f>
        <x:v>6970</x:v>
      </x:c>
      <x:c r="F276" s="8" t="n">
        <x:f>D276-E276</x:f>
        <x:v>51127</x:v>
      </x:c>
      <x:c r="G276" s="8" t="n">
        <x:f>SUM('Source'!$Z$283,'Source'!$AB$283,'Source'!$AD$283,'Source'!$AF$283)</x:f>
        <x:v>29845</x:v>
      </x:c>
      <x:c r="H276" s="8" t="n">
        <x:f>'Source'!$AF$283</x:f>
        <x:v>11775</x:v>
      </x:c>
      <x:c r="I276" s="9" t="n">
        <x:f>IF(F276=0,"n.a.",G276/F276)</x:f>
        <x:v>0.5837424452833141</x:v>
      </x:c>
      <x:c r="J276" s="9" t="n">
        <x:f>IF(F276=0,"n.a.",H276/F276)</x:f>
        <x:v>0.2303088387740333</x:v>
      </x:c>
      <x:c r="K276" s="9" t="n">
        <x:f>IF(D276=0,"n.a.",E276/D276)</x:f>
        <x:v>0.11997177134791814</x:v>
      </x:c>
    </x:row>
    <x:row r="277" ht="22" customHeight="1">
      <x:c r="A277" s="6" t="str">
        <x:f>'Source'!$C$284</x:f>
        <x:v>Peoria, IL Metro Area</x:v>
      </x:c>
      <x:c r="B277" s="6" t="str">
        <x:f>'Source'!$B$284</x:f>
        <x:v>37900</x:v>
      </x:c>
      <x:c r="C277" s="7" t="n">
        <x:f>'Source'!$D$284</x:f>
        <x:v>2024</x:v>
      </x:c>
      <x:c r="D277" s="8" t="n">
        <x:f>'Source'!$N$284</x:f>
        <x:v>38045</x:v>
      </x:c>
      <x:c r="E277" s="8" t="n">
        <x:f>'Source'!$AH$284</x:f>
        <x:v>3180</x:v>
      </x:c>
      <x:c r="F277" s="8" t="n">
        <x:f>D277-E277</x:f>
        <x:v>34865</x:v>
      </x:c>
      <x:c r="G277" s="8" t="n">
        <x:f>SUM('Source'!$Z$284,'Source'!$AB$284,'Source'!$AD$284,'Source'!$AF$284)</x:f>
        <x:v>14973</x:v>
      </x:c>
      <x:c r="H277" s="8" t="n">
        <x:f>'Source'!$AF$284</x:f>
        <x:v>6970</x:v>
      </x:c>
      <x:c r="I277" s="9" t="n">
        <x:f>IF(F277=0,"n.a.",G277/F277)</x:f>
        <x:v>0.4294564749749032</x:v>
      </x:c>
      <x:c r="J277" s="9" t="n">
        <x:f>IF(F277=0,"n.a.",H277/F277)</x:f>
        <x:v>0.1999139538218844</x:v>
      </x:c>
      <x:c r="K277" s="9" t="n">
        <x:f>IF(D277=0,"n.a.",E277/D277)</x:f>
        <x:v>0.08358522801945065</x:v>
      </x:c>
    </x:row>
    <x:row r="278" ht="22" customHeight="1">
      <x:c r="A278" s="6" t="str">
        <x:f>'Source'!$C$285</x:f>
        <x:v>Philadelphia-Camden-Wilmington, PA-NJ-DE-MD Metro Area</x:v>
      </x:c>
      <x:c r="B278" s="6" t="str">
        <x:f>'Source'!$B$285</x:f>
        <x:v>37980</x:v>
      </x:c>
      <x:c r="C278" s="7" t="n">
        <x:f>'Source'!$D$285</x:f>
        <x:v>2024</x:v>
      </x:c>
      <x:c r="D278" s="8" t="n">
        <x:f>'Source'!$N$285</x:f>
        <x:v>830097</x:v>
      </x:c>
      <x:c r="E278" s="8" t="n">
        <x:f>'Source'!$AH$285</x:f>
        <x:v>46721</x:v>
      </x:c>
      <x:c r="F278" s="8" t="n">
        <x:f>D278-E278</x:f>
        <x:v>783376</x:v>
      </x:c>
      <x:c r="G278" s="8" t="n">
        <x:f>SUM('Source'!$Z$285,'Source'!$AB$285,'Source'!$AD$285,'Source'!$AF$285)</x:f>
        <x:v>412482</x:v>
      </x:c>
      <x:c r="H278" s="8" t="n">
        <x:f>'Source'!$AF$285</x:f>
        <x:v>231936</x:v>
      </x:c>
      <x:c r="I278" s="9" t="n">
        <x:f>IF(F278=0,"n.a.",G278/F278)</x:f>
        <x:v>0.5265440861093523</x:v>
      </x:c>
      <x:c r="J278" s="9" t="n">
        <x:f>IF(F278=0,"n.a.",H278/F278)</x:f>
        <x:v>0.29607238414248077</x:v>
      </x:c>
      <x:c r="K278" s="9" t="n">
        <x:f>IF(D278=0,"n.a.",E278/D278)</x:f>
        <x:v>0.05628378370238659</x:v>
      </x:c>
    </x:row>
    <x:row r="279" ht="22" customHeight="1">
      <x:c r="A279" s="6" t="str">
        <x:f>'Source'!$C$286</x:f>
        <x:v>Phoenix-Mesa-Chandler, AZ Metro Area</x:v>
      </x:c>
      <x:c r="B279" s="6" t="str">
        <x:f>'Source'!$B$286</x:f>
        <x:v>38060</x:v>
      </x:c>
      <x:c r="C279" s="7" t="n">
        <x:f>'Source'!$D$286</x:f>
        <x:v>2024</x:v>
      </x:c>
      <x:c r="D279" s="8" t="n">
        <x:f>'Source'!$N$286</x:f>
        <x:v>658635</x:v>
      </x:c>
      <x:c r="E279" s="8" t="n">
        <x:f>'Source'!$AH$286</x:f>
        <x:v>34120</x:v>
      </x:c>
      <x:c r="F279" s="8" t="n">
        <x:f>D279-E279</x:f>
        <x:v>624515</x:v>
      </x:c>
      <x:c r="G279" s="8" t="n">
        <x:f>SUM('Source'!$Z$286,'Source'!$AB$286,'Source'!$AD$286,'Source'!$AF$286)</x:f>
        <x:v>337274</x:v>
      </x:c>
      <x:c r="H279" s="8" t="n">
        <x:f>'Source'!$AF$286</x:f>
        <x:v>160728</x:v>
      </x:c>
      <x:c r="I279" s="9" t="n">
        <x:f>IF(F279=0,"n.a.",G279/F279)</x:f>
        <x:v>0.5400574846080558</x:v>
      </x:c>
      <x:c r="J279" s="9" t="n">
        <x:f>IF(F279=0,"n.a.",H279/F279)</x:f>
        <x:v>0.2573645148635341</x:v>
      </x:c>
      <x:c r="K279" s="9" t="n">
        <x:f>IF(D279=0,"n.a.",E279/D279)</x:f>
        <x:v>0.05180411001541066</x:v>
      </x:c>
    </x:row>
    <x:row r="280" ht="22" customHeight="1">
      <x:c r="A280" s="6" t="str">
        <x:f>'Source'!$C$287</x:f>
        <x:v>Pinehurst-Southern Pines, NC Metro Area</x:v>
      </x:c>
      <x:c r="B280" s="6" t="str">
        <x:f>'Source'!$B$287</x:f>
        <x:v>38240</x:v>
      </x:c>
      <x:c r="C280" s="7" t="n">
        <x:f>'Source'!$D$287</x:f>
        <x:v>2024</x:v>
      </x:c>
      <x:c r="D280" s="8" t="n">
        <x:f>'Source'!$N$287</x:f>
        <x:v>11094</x:v>
      </x:c>
      <x:c r="E280" s="8" t="n">
        <x:f>'Source'!$AH$287</x:f>
        <x:v>2144</x:v>
      </x:c>
      <x:c r="F280" s="8" t="n">
        <x:f>D280-E280</x:f>
        <x:v>8950</x:v>
      </x:c>
      <x:c r="G280" s="8" t="n">
        <x:f>SUM('Source'!$Z$287,'Source'!$AB$287,'Source'!$AD$287,'Source'!$AF$287)</x:f>
        <x:v>4369</x:v>
      </x:c>
      <x:c r="H280" s="8" t="n">
        <x:f>'Source'!$AF$287</x:f>
        <x:v>1357</x:v>
      </x:c>
      <x:c r="I280" s="9" t="n">
        <x:f>IF(F280=0,"n.a.",G280/F280)</x:f>
        <x:v>0.4881564245810056</x:v>
      </x:c>
      <x:c r="J280" s="9" t="n">
        <x:f>IF(F280=0,"n.a.",H280/F280)</x:f>
        <x:v>0.1516201117318436</x:v>
      </x:c>
      <x:c r="K280" s="9" t="n">
        <x:f>IF(D280=0,"n.a.",E280/D280)</x:f>
        <x:v>0.19325761672976383</x:v>
      </x:c>
    </x:row>
    <x:row r="281" ht="22" customHeight="1">
      <x:c r="A281" s="6" t="str">
        <x:f>'Source'!$C$288</x:f>
        <x:v>Pittsburgh, PA Metro Area</x:v>
      </x:c>
      <x:c r="B281" s="6" t="str">
        <x:f>'Source'!$B$288</x:f>
        <x:v>38300</x:v>
      </x:c>
      <x:c r="C281" s="7" t="n">
        <x:f>'Source'!$D$288</x:f>
        <x:v>2024</x:v>
      </x:c>
      <x:c r="D281" s="8" t="n">
        <x:f>'Source'!$N$288</x:f>
        <x:v>311288</x:v>
      </x:c>
      <x:c r="E281" s="8" t="n">
        <x:f>'Source'!$AH$288</x:f>
        <x:v>23523</x:v>
      </x:c>
      <x:c r="F281" s="8" t="n">
        <x:f>D281-E281</x:f>
        <x:v>287765</x:v>
      </x:c>
      <x:c r="G281" s="8" t="n">
        <x:f>SUM('Source'!$Z$288,'Source'!$AB$288,'Source'!$AD$288,'Source'!$AF$288)</x:f>
        <x:v>129243</x:v>
      </x:c>
      <x:c r="H281" s="8" t="n">
        <x:f>'Source'!$AF$288</x:f>
        <x:v>67157</x:v>
      </x:c>
      <x:c r="I281" s="9" t="n">
        <x:f>IF(F281=0,"n.a.",G281/F281)</x:f>
        <x:v>0.4491268917345751</x:v>
      </x:c>
      <x:c r="J281" s="9" t="n">
        <x:f>IF(F281=0,"n.a.",H281/F281)</x:f>
        <x:v>0.23337445485031189</x:v>
      </x:c>
      <x:c r="K281" s="9" t="n">
        <x:f>IF(D281=0,"n.a.",E281/D281)</x:f>
        <x:v>0.0755666778031919</x:v>
      </x:c>
    </x:row>
    <x:row r="282" ht="22" customHeight="1">
      <x:c r="A282" s="6" t="str">
        <x:f>'Source'!$C$289</x:f>
        <x:v>Pittsfield, MA Metro Area</x:v>
      </x:c>
      <x:c r="B282" s="6" t="str">
        <x:f>'Source'!$B$289</x:f>
        <x:v>38340</x:v>
      </x:c>
      <x:c r="C282" s="7" t="n">
        <x:f>'Source'!$D$289</x:f>
        <x:v>2024</x:v>
      </x:c>
      <x:c r="D282" s="8" t="n">
        <x:f>'Source'!$N$289</x:f>
        <x:v>17634</x:v>
      </x:c>
      <x:c r="E282" s="8" t="n">
        <x:f>'Source'!$AH$289</x:f>
        <x:v>1584</x:v>
      </x:c>
      <x:c r="F282" s="8" t="n">
        <x:f>D282-E282</x:f>
        <x:v>16050</x:v>
      </x:c>
      <x:c r="G282" s="8" t="n">
        <x:f>SUM('Source'!$Z$289,'Source'!$AB$289,'Source'!$AD$289,'Source'!$AF$289)</x:f>
        <x:v>8171</x:v>
      </x:c>
      <x:c r="H282" s="8" t="n">
        <x:f>'Source'!$AF$289</x:f>
        <x:v>3486</x:v>
      </x:c>
      <x:c r="I282" s="9" t="n">
        <x:f>IF(F282=0,"n.a.",G282/F282)</x:f>
        <x:v>0.5090965732087227</x:v>
      </x:c>
      <x:c r="J282" s="9" t="n">
        <x:f>IF(F282=0,"n.a.",H282/F282)</x:f>
        <x:v>0.21719626168224299</x:v>
      </x:c>
      <x:c r="K282" s="9" t="n">
        <x:f>IF(D282=0,"n.a.",E282/D282)</x:f>
        <x:v>0.08982647158897585</x:v>
      </x:c>
    </x:row>
    <x:row r="283" ht="22" customHeight="1">
      <x:c r="A283" s="6" t="str">
        <x:f>'Source'!$C$290</x:f>
        <x:v>Pocatello, ID Metro Area</x:v>
      </x:c>
      <x:c r="B283" s="6" t="str">
        <x:f>'Source'!$B$290</x:f>
        <x:v>38540</x:v>
      </x:c>
      <x:c r="C283" s="7" t="n">
        <x:f>'Source'!$D$290</x:f>
        <x:v>2024</x:v>
      </x:c>
      <x:c r="D283" s="8" t="n">
        <x:f>'Source'!$N$290</x:f>
        <x:v>9093</x:v>
      </x:c>
      <x:c r="E283" s="8" t="n">
        <x:f>'Source'!$AH$290</x:f>
        <x:v>243</x:v>
      </x:c>
      <x:c r="F283" s="8" t="n">
        <x:f>D283-E283</x:f>
        <x:v>8850</x:v>
      </x:c>
      <x:c r="G283" s="8" t="n">
        <x:f>SUM('Source'!$Z$290,'Source'!$AB$290,'Source'!$AD$290,'Source'!$AF$290)</x:f>
        <x:v>4350</x:v>
      </x:c>
      <x:c r="H283" s="8" t="n">
        <x:f>'Source'!$AF$290</x:f>
        <x:v>2462</x:v>
      </x:c>
      <x:c r="I283" s="9" t="n">
        <x:f>IF(F283=0,"n.a.",G283/F283)</x:f>
        <x:v>0.4915254237288136</x:v>
      </x:c>
      <x:c r="J283" s="9" t="n">
        <x:f>IF(F283=0,"n.a.",H283/F283)</x:f>
        <x:v>0.2781920903954802</x:v>
      </x:c>
      <x:c r="K283" s="9" t="n">
        <x:f>IF(D283=0,"n.a.",E283/D283)</x:f>
        <x:v>0.026723853513691852</x:v>
      </x:c>
    </x:row>
    <x:row r="284" ht="22" customHeight="1">
      <x:c r="A284" s="6" t="str">
        <x:f>'Source'!$C$291</x:f>
        <x:v>Port St. Lucie, FL Metro Area</x:v>
      </x:c>
      <x:c r="B284" s="6" t="str">
        <x:f>'Source'!$B$291</x:f>
        <x:v>38940</x:v>
      </x:c>
      <x:c r="C284" s="7" t="n">
        <x:f>'Source'!$D$291</x:f>
        <x:v>2024</x:v>
      </x:c>
      <x:c r="D284" s="8" t="n">
        <x:f>'Source'!$N$291</x:f>
        <x:v>45499</x:v>
      </x:c>
      <x:c r="E284" s="8" t="n">
        <x:f>'Source'!$AH$291</x:f>
        <x:v>2969</x:v>
      </x:c>
      <x:c r="F284" s="8" t="n">
        <x:f>D284-E284</x:f>
        <x:v>42530</x:v>
      </x:c>
      <x:c r="G284" s="8" t="n">
        <x:f>SUM('Source'!$Z$291,'Source'!$AB$291,'Source'!$AD$291,'Source'!$AF$291)</x:f>
        <x:v>26827</x:v>
      </x:c>
      <x:c r="H284" s="8" t="n">
        <x:f>'Source'!$AF$291</x:f>
        <x:v>13138</x:v>
      </x:c>
      <x:c r="I284" s="9" t="n">
        <x:f>IF(F284=0,"n.a.",G284/F284)</x:f>
        <x:v>0.6307782741594169</x:v>
      </x:c>
      <x:c r="J284" s="9" t="n">
        <x:f>IF(F284=0,"n.a.",H284/F284)</x:f>
        <x:v>0.30891135668939573</x:v>
      </x:c>
      <x:c r="K284" s="9" t="n">
        <x:f>IF(D284=0,"n.a.",E284/D284)</x:f>
        <x:v>0.06525418141058045</x:v>
      </x:c>
    </x:row>
    <x:row r="285" ht="22" customHeight="1">
      <x:c r="A285" s="6" t="str">
        <x:f>'Source'!$C$292</x:f>
        <x:v>Portland-South Portland, ME Metro Area</x:v>
      </x:c>
      <x:c r="B285" s="6" t="str">
        <x:f>'Source'!$B$292</x:f>
        <x:v>38860</x:v>
      </x:c>
      <x:c r="C285" s="7" t="n">
        <x:f>'Source'!$D$292</x:f>
        <x:v>2024</x:v>
      </x:c>
      <x:c r="D285" s="8" t="n">
        <x:f>'Source'!$N$292</x:f>
        <x:v>70464</x:v>
      </x:c>
      <x:c r="E285" s="8" t="n">
        <x:f>'Source'!$AH$292</x:f>
        <x:v>3995</x:v>
      </x:c>
      <x:c r="F285" s="8" t="n">
        <x:f>D285-E285</x:f>
        <x:v>66469</x:v>
      </x:c>
      <x:c r="G285" s="8" t="n">
        <x:f>SUM('Source'!$Z$292,'Source'!$AB$292,'Source'!$AD$292,'Source'!$AF$292)</x:f>
        <x:v>32124</x:v>
      </x:c>
      <x:c r="H285" s="8" t="n">
        <x:f>'Source'!$AF$292</x:f>
        <x:v>14404</x:v>
      </x:c>
      <x:c r="I285" s="9" t="n">
        <x:f>IF(F285=0,"n.a.",G285/F285)</x:f>
        <x:v>0.48329296363718427</x:v>
      </x:c>
      <x:c r="J285" s="9" t="n">
        <x:f>IF(F285=0,"n.a.",H285/F285)</x:f>
        <x:v>0.21670252298063758</x:v>
      </x:c>
      <x:c r="K285" s="9" t="n">
        <x:f>IF(D285=0,"n.a.",E285/D285)</x:f>
        <x:v>0.05669561762034514</x:v>
      </x:c>
    </x:row>
    <x:row r="286" ht="22" customHeight="1">
      <x:c r="A286" s="6" t="str">
        <x:f>'Source'!$C$293</x:f>
        <x:v>Portland-Vancouver-Hillsboro, OR-WA Metro Area</x:v>
      </x:c>
      <x:c r="B286" s="6" t="str">
        <x:f>'Source'!$B$293</x:f>
        <x:v>38900</x:v>
      </x:c>
      <x:c r="C286" s="7" t="n">
        <x:f>'Source'!$D$293</x:f>
        <x:v>2024</x:v>
      </x:c>
      <x:c r="D286" s="8" t="n">
        <x:f>'Source'!$N$293</x:f>
        <x:v>399269</x:v>
      </x:c>
      <x:c r="E286" s="8" t="n">
        <x:f>'Source'!$AH$293</x:f>
        <x:v>16622</x:v>
      </x:c>
      <x:c r="F286" s="8" t="n">
        <x:f>D286-E286</x:f>
        <x:v>382647</x:v>
      </x:c>
      <x:c r="G286" s="8" t="n">
        <x:f>SUM('Source'!$Z$293,'Source'!$AB$293,'Source'!$AD$293,'Source'!$AF$293)</x:f>
        <x:v>197616</x:v>
      </x:c>
      <x:c r="H286" s="8" t="n">
        <x:f>'Source'!$AF$293</x:f>
        <x:v>96607</x:v>
      </x:c>
      <x:c r="I286" s="9" t="n">
        <x:f>IF(F286=0,"n.a.",G286/F286)</x:f>
        <x:v>0.5164446604834221</x:v>
      </x:c>
      <x:c r="J286" s="9" t="n">
        <x:f>IF(F286=0,"n.a.",H286/F286)</x:f>
        <x:v>0.2524702924627659</x:v>
      </x:c>
      <x:c r="K286" s="9" t="n">
        <x:f>IF(D286=0,"n.a.",E286/D286)</x:f>
        <x:v>0.0416310808001623</x:v>
      </x:c>
    </x:row>
    <x:row r="287" ht="22" customHeight="1">
      <x:c r="A287" s="6" t="str">
        <x:f>'Source'!$C$294</x:f>
        <x:v>Prescott Valley-Prescott, AZ Metro Area</x:v>
      </x:c>
      <x:c r="B287" s="6" t="str">
        <x:f>'Source'!$B$294</x:f>
        <x:v>39150</x:v>
      </x:c>
      <x:c r="C287" s="7" t="n">
        <x:f>'Source'!$D$294</x:f>
        <x:v>2024</x:v>
      </x:c>
      <x:c r="D287" s="8" t="n">
        <x:f>'Source'!$N$294</x:f>
        <x:v>25896</x:v>
      </x:c>
      <x:c r="E287" s="8" t="n">
        <x:f>'Source'!$AH$294</x:f>
        <x:v>1865</x:v>
      </x:c>
      <x:c r="F287" s="8" t="n">
        <x:f>D287-E287</x:f>
        <x:v>24031</x:v>
      </x:c>
      <x:c r="G287" s="8" t="n">
        <x:f>SUM('Source'!$Z$294,'Source'!$AB$294,'Source'!$AD$294,'Source'!$AF$294)</x:f>
        <x:v>13035</x:v>
      </x:c>
      <x:c r="H287" s="8" t="n">
        <x:f>'Source'!$AF$294</x:f>
        <x:v>6441</x:v>
      </x:c>
      <x:c r="I287" s="9" t="n">
        <x:f>IF(F287=0,"n.a.",G287/F287)</x:f>
        <x:v>0.5424243685239899</x:v>
      </x:c>
      <x:c r="J287" s="9" t="n">
        <x:f>IF(F287=0,"n.a.",H287/F287)</x:f>
        <x:v>0.2680287961383213</x:v>
      </x:c>
      <x:c r="K287" s="9" t="n">
        <x:f>IF(D287=0,"n.a.",E287/D287)</x:f>
        <x:v>0.07201884460920606</x:v>
      </x:c>
    </x:row>
    <x:row r="288" ht="22" customHeight="1">
      <x:c r="A288" s="6" t="str">
        <x:f>'Source'!$C$295</x:f>
        <x:v>Providence-Warwick, RI-MA Metro Area</x:v>
      </x:c>
      <x:c r="B288" s="6" t="str">
        <x:f>'Source'!$B$295</x:f>
        <x:v>39300</x:v>
      </x:c>
      <x:c r="C288" s="7" t="n">
        <x:f>'Source'!$D$295</x:f>
        <x:v>2024</x:v>
      </x:c>
      <x:c r="D288" s="8" t="n">
        <x:f>'Source'!$N$295</x:f>
        <x:v>249194</x:v>
      </x:c>
      <x:c r="E288" s="8" t="n">
        <x:f>'Source'!$AH$295</x:f>
        <x:v>11799</x:v>
      </x:c>
      <x:c r="F288" s="8" t="n">
        <x:f>D288-E288</x:f>
        <x:v>237395</x:v>
      </x:c>
      <x:c r="G288" s="8" t="n">
        <x:f>SUM('Source'!$Z$295,'Source'!$AB$295,'Source'!$AD$295,'Source'!$AF$295)</x:f>
        <x:v>124890</x:v>
      </x:c>
      <x:c r="H288" s="8" t="n">
        <x:f>'Source'!$AF$295</x:f>
        <x:v>62274</x:v>
      </x:c>
      <x:c r="I288" s="9" t="n">
        <x:f>IF(F288=0,"n.a.",G288/F288)</x:f>
        <x:v>0.5260852166220855</x:v>
      </x:c>
      <x:c r="J288" s="9" t="n">
        <x:f>IF(F288=0,"n.a.",H288/F288)</x:f>
        <x:v>0.262322289854462</x:v>
      </x:c>
      <x:c r="K288" s="9" t="n">
        <x:f>IF(D288=0,"n.a.",E288/D288)</x:f>
        <x:v>0.04734865205422281</x:v>
      </x:c>
    </x:row>
    <x:row r="289" ht="22" customHeight="1">
      <x:c r="A289" s="6" t="str">
        <x:f>'Source'!$C$296</x:f>
        <x:v>Provo-Orem-Lehi, UT Metro Area</x:v>
      </x:c>
      <x:c r="B289" s="6" t="str">
        <x:f>'Source'!$B$296</x:f>
        <x:v>39340</x:v>
      </x:c>
      <x:c r="C289" s="7" t="n">
        <x:f>'Source'!$D$296</x:f>
        <x:v>2024</x:v>
      </x:c>
      <x:c r="D289" s="8" t="n">
        <x:f>'Source'!$N$296</x:f>
        <x:v>68919</x:v>
      </x:c>
      <x:c r="E289" s="8" t="n">
        <x:f>'Source'!$AH$296</x:f>
        <x:v>3097</x:v>
      </x:c>
      <x:c r="F289" s="8" t="n">
        <x:f>D289-E289</x:f>
        <x:v>65822</x:v>
      </x:c>
      <x:c r="G289" s="8" t="n">
        <x:f>SUM('Source'!$Z$296,'Source'!$AB$296,'Source'!$AD$296,'Source'!$AF$296)</x:f>
        <x:v>28676</x:v>
      </x:c>
      <x:c r="H289" s="8" t="n">
        <x:f>'Source'!$AF$296</x:f>
        <x:v>14169</x:v>
      </x:c>
      <x:c r="I289" s="9" t="n">
        <x:f>IF(F289=0,"n.a.",G289/F289)</x:f>
        <x:v>0.4356598097900398</x:v>
      </x:c>
      <x:c r="J289" s="9" t="n">
        <x:f>IF(F289=0,"n.a.",H289/F289)</x:f>
        <x:v>0.2152623742821549</x:v>
      </x:c>
      <x:c r="K289" s="9" t="n">
        <x:f>IF(D289=0,"n.a.",E289/D289)</x:f>
        <x:v>0.04493680987826289</x:v>
      </x:c>
    </x:row>
    <x:row r="290" ht="22" customHeight="1">
      <x:c r="A290" s="6" t="str">
        <x:f>'Source'!$C$297</x:f>
        <x:v>Pueblo, CO Metro Area</x:v>
      </x:c>
      <x:c r="B290" s="6" t="str">
        <x:f>'Source'!$B$297</x:f>
        <x:v>39380</x:v>
      </x:c>
      <x:c r="C290" s="7" t="n">
        <x:f>'Source'!$D$297</x:f>
        <x:v>2024</x:v>
      </x:c>
      <x:c r="D290" s="8" t="n">
        <x:f>'Source'!$N$297</x:f>
        <x:v>20475</x:v>
      </x:c>
      <x:c r="E290" s="8" t="n">
        <x:f>'Source'!$AH$297</x:f>
        <x:v>2015</x:v>
      </x:c>
      <x:c r="F290" s="8" t="n">
        <x:f>D290-E290</x:f>
        <x:v>18460</x:v>
      </x:c>
      <x:c r="G290" s="8" t="n">
        <x:f>SUM('Source'!$Z$297,'Source'!$AB$297,'Source'!$AD$297,'Source'!$AF$297)</x:f>
        <x:v>9930</x:v>
      </x:c>
      <x:c r="H290" s="8" t="n">
        <x:f>'Source'!$AF$297</x:f>
        <x:v>5509</x:v>
      </x:c>
      <x:c r="I290" s="9" t="n">
        <x:f>IF(F290=0,"n.a.",G290/F290)</x:f>
        <x:v>0.537919826652221</x:v>
      </x:c>
      <x:c r="J290" s="9" t="n">
        <x:f>IF(F290=0,"n.a.",H290/F290)</x:f>
        <x:v>0.2984290357529794</x:v>
      </x:c>
      <x:c r="K290" s="9" t="n">
        <x:f>IF(D290=0,"n.a.",E290/D290)</x:f>
        <x:v>0.09841269841269841</x:v>
      </x:c>
    </x:row>
    <x:row r="291" ht="22" customHeight="1">
      <x:c r="A291" s="6" t="str">
        <x:f>'Source'!$C$298</x:f>
        <x:v>Punta Gorda, FL Metro Area</x:v>
      </x:c>
      <x:c r="B291" s="6" t="str">
        <x:f>'Source'!$B$298</x:f>
        <x:v>39460</x:v>
      </x:c>
      <x:c r="C291" s="7" t="n">
        <x:f>'Source'!$D$298</x:f>
        <x:v>2024</x:v>
      </x:c>
      <x:c r="D291" s="8" t="n">
        <x:f>'Source'!$N$298</x:f>
        <x:v>14744</x:v>
      </x:c>
      <x:c r="E291" s="8" t="n">
        <x:f>'Source'!$AH$298</x:f>
        <x:v>1700</x:v>
      </x:c>
      <x:c r="F291" s="8" t="n">
        <x:f>D291-E291</x:f>
        <x:v>13044</x:v>
      </x:c>
      <x:c r="G291" s="8" t="n">
        <x:f>SUM('Source'!$Z$298,'Source'!$AB$298,'Source'!$AD$298,'Source'!$AF$298)</x:f>
        <x:v>7344</x:v>
      </x:c>
      <x:c r="H291" s="8" t="n">
        <x:f>'Source'!$AF$298</x:f>
        <x:v>3315</x:v>
      </x:c>
      <x:c r="I291" s="9" t="n">
        <x:f>IF(F291=0,"n.a.",G291/F291)</x:f>
        <x:v>0.563017479300828</x:v>
      </x:c>
      <x:c r="J291" s="9" t="n">
        <x:f>IF(F291=0,"n.a.",H291/F291)</x:f>
        <x:v>0.25413983440662374</x:v>
      </x:c>
      <x:c r="K291" s="9" t="n">
        <x:f>IF(D291=0,"n.a.",E291/D291)</x:f>
        <x:v>0.11530113944655453</x:v>
      </x:c>
    </x:row>
    <x:row r="292" ht="22" customHeight="1">
      <x:c r="A292" s="6" t="str">
        <x:f>'Source'!$C$299</x:f>
        <x:v>Racine-Mount Pleasant, WI Metro Area</x:v>
      </x:c>
      <x:c r="B292" s="6" t="str">
        <x:f>'Source'!$B$299</x:f>
        <x:v>39540</x:v>
      </x:c>
      <x:c r="C292" s="7" t="n">
        <x:f>'Source'!$D$299</x:f>
        <x:v>2024</x:v>
      </x:c>
      <x:c r="D292" s="8" t="n">
        <x:f>'Source'!$N$299</x:f>
        <x:v>23162</x:v>
      </x:c>
      <x:c r="E292" s="8" t="n">
        <x:f>'Source'!$AH$299</x:f>
        <x:v>1338</x:v>
      </x:c>
      <x:c r="F292" s="8" t="n">
        <x:f>D292-E292</x:f>
        <x:v>21824</x:v>
      </x:c>
      <x:c r="G292" s="8" t="n">
        <x:f>SUM('Source'!$Z$299,'Source'!$AB$299,'Source'!$AD$299,'Source'!$AF$299)</x:f>
        <x:v>12186</x:v>
      </x:c>
      <x:c r="H292" s="8" t="n">
        <x:f>'Source'!$AF$299</x:f>
        <x:v>5771</x:v>
      </x:c>
      <x:c r="I292" s="9" t="n">
        <x:f>IF(F292=0,"n.a.",G292/F292)</x:f>
        <x:v>0.5583760997067448</x:v>
      </x:c>
      <x:c r="J292" s="9" t="n">
        <x:f>IF(F292=0,"n.a.",H292/F292)</x:f>
        <x:v>0.26443365102639294</x:v>
      </x:c>
      <x:c r="K292" s="9" t="n">
        <x:f>IF(D292=0,"n.a.",E292/D292)</x:f>
        <x:v>0.057767032207926776</x:v>
      </x:c>
    </x:row>
    <x:row r="293" ht="22" customHeight="1">
      <x:c r="A293" s="6" t="str">
        <x:f>'Source'!$C$300</x:f>
        <x:v>Raleigh-Cary, NC Metro Area</x:v>
      </x:c>
      <x:c r="B293" s="6" t="str">
        <x:f>'Source'!$B$300</x:f>
        <x:v>39580</x:v>
      </x:c>
      <x:c r="C293" s="7" t="n">
        <x:f>'Source'!$D$300</x:f>
        <x:v>2024</x:v>
      </x:c>
      <x:c r="D293" s="8" t="n">
        <x:f>'Source'!$N$300</x:f>
        <x:v>218517</x:v>
      </x:c>
      <x:c r="E293" s="8" t="n">
        <x:f>'Source'!$AH$300</x:f>
        <x:v>9373</x:v>
      </x:c>
      <x:c r="F293" s="8" t="n">
        <x:f>D293-E293</x:f>
        <x:v>209144</x:v>
      </x:c>
      <x:c r="G293" s="8" t="n">
        <x:f>SUM('Source'!$Z$300,'Source'!$AB$300,'Source'!$AD$300,'Source'!$AF$300)</x:f>
        <x:v>107310</x:v>
      </x:c>
      <x:c r="H293" s="8" t="n">
        <x:f>'Source'!$AF$300</x:f>
        <x:v>47888</x:v>
      </x:c>
      <x:c r="I293" s="9" t="n">
        <x:f>IF(F293=0,"n.a.",G293/F293)</x:f>
        <x:v>0.5130914585166201</x:v>
      </x:c>
      <x:c r="J293" s="9" t="n">
        <x:f>IF(F293=0,"n.a.",H293/F293)</x:f>
        <x:v>0.22897142638564816</x:v>
      </x:c>
      <x:c r="K293" s="9" t="n">
        <x:f>IF(D293=0,"n.a.",E293/D293)</x:f>
        <x:v>0.04289368790528884</x:v>
      </x:c>
    </x:row>
    <x:row r="294" ht="22" customHeight="1">
      <x:c r="A294" s="6" t="str">
        <x:f>'Source'!$C$301</x:f>
        <x:v>Rapid City, SD Metro Area</x:v>
      </x:c>
      <x:c r="B294" s="6" t="str">
        <x:f>'Source'!$B$301</x:f>
        <x:v>39660</x:v>
      </x:c>
      <x:c r="C294" s="7" t="n">
        <x:f>'Source'!$D$301</x:f>
        <x:v>2024</x:v>
      </x:c>
      <x:c r="D294" s="8" t="n">
        <x:f>'Source'!$N$301</x:f>
        <x:v>17721</x:v>
      </x:c>
      <x:c r="E294" s="8" t="n">
        <x:f>'Source'!$AH$301</x:f>
        <x:v>1786</x:v>
      </x:c>
      <x:c r="F294" s="8" t="n">
        <x:f>D294-E294</x:f>
        <x:v>15935</x:v>
      </x:c>
      <x:c r="G294" s="8" t="n">
        <x:f>SUM('Source'!$Z$301,'Source'!$AB$301,'Source'!$AD$301,'Source'!$AF$301)</x:f>
        <x:v>7850</x:v>
      </x:c>
      <x:c r="H294" s="8" t="n">
        <x:f>'Source'!$AF$301</x:f>
        <x:v>2841</x:v>
      </x:c>
      <x:c r="I294" s="9" t="n">
        <x:f>IF(F294=0,"n.a.",G294/F294)</x:f>
        <x:v>0.4926262943206777</x:v>
      </x:c>
      <x:c r="J294" s="9" t="n">
        <x:f>IF(F294=0,"n.a.",H294/F294)</x:f>
        <x:v>0.17828679008471918</x:v>
      </x:c>
      <x:c r="K294" s="9" t="n">
        <x:f>IF(D294=0,"n.a.",E294/D294)</x:f>
        <x:v>0.10078438011398905</x:v>
      </x:c>
    </x:row>
    <x:row r="295" ht="22" customHeight="1">
      <x:c r="A295" s="6" t="str">
        <x:f>'Source'!$C$302</x:f>
        <x:v>Reading, PA Metro Area</x:v>
      </x:c>
      <x:c r="B295" s="6" t="str">
        <x:f>'Source'!$B$302</x:f>
        <x:v>39740</x:v>
      </x:c>
      <x:c r="C295" s="7" t="n">
        <x:f>'Source'!$D$302</x:f>
        <x:v>2024</x:v>
      </x:c>
      <x:c r="D295" s="8" t="n">
        <x:f>'Source'!$N$302</x:f>
        <x:v>48558</x:v>
      </x:c>
      <x:c r="E295" s="8" t="n">
        <x:f>'Source'!$AH$302</x:f>
        <x:v>3534</x:v>
      </x:c>
      <x:c r="F295" s="8" t="n">
        <x:f>D295-E295</x:f>
        <x:v>45024</x:v>
      </x:c>
      <x:c r="G295" s="8" t="n">
        <x:f>SUM('Source'!$Z$302,'Source'!$AB$302,'Source'!$AD$302,'Source'!$AF$302)</x:f>
        <x:v>25111</x:v>
      </x:c>
      <x:c r="H295" s="8" t="n">
        <x:f>'Source'!$AF$302</x:f>
        <x:v>11512</x:v>
      </x:c>
      <x:c r="I295" s="9" t="n">
        <x:f>IF(F295=0,"n.a.",G295/F295)</x:f>
        <x:v>0.5577247690120825</x:v>
      </x:c>
      <x:c r="J295" s="9" t="n">
        <x:f>IF(F295=0,"n.a.",H295/F295)</x:f>
        <x:v>0.2556858564321251</x:v>
      </x:c>
      <x:c r="K295" s="9" t="n">
        <x:f>IF(D295=0,"n.a.",E295/D295)</x:f>
        <x:v>0.07277894476708266</x:v>
      </x:c>
    </x:row>
    <x:row r="296" ht="22" customHeight="1">
      <x:c r="A296" s="6" t="str">
        <x:f>'Source'!$C$303</x:f>
        <x:v>Redding, CA Metro Area</x:v>
      </x:c>
      <x:c r="B296" s="6" t="str">
        <x:f>'Source'!$B$303</x:f>
        <x:v>39820</x:v>
      </x:c>
      <x:c r="C296" s="7" t="n">
        <x:f>'Source'!$D$303</x:f>
        <x:v>2024</x:v>
      </x:c>
      <x:c r="D296" s="8" t="n">
        <x:f>'Source'!$N$303</x:f>
        <x:v>23910</x:v>
      </x:c>
      <x:c r="E296" s="8" t="n">
        <x:f>'Source'!$AH$303</x:f>
        <x:v>1140</x:v>
      </x:c>
      <x:c r="F296" s="8" t="n">
        <x:f>D296-E296</x:f>
        <x:v>22770</x:v>
      </x:c>
      <x:c r="G296" s="8" t="n">
        <x:f>SUM('Source'!$Z$303,'Source'!$AB$303,'Source'!$AD$303,'Source'!$AF$303)</x:f>
        <x:v>12416</x:v>
      </x:c>
      <x:c r="H296" s="8" t="n">
        <x:f>'Source'!$AF$303</x:f>
        <x:v>5947</x:v>
      </x:c>
      <x:c r="I296" s="9" t="n">
        <x:f>IF(F296=0,"n.a.",G296/F296)</x:f>
        <x:v>0.5452788757136583</x:v>
      </x:c>
      <x:c r="J296" s="9" t="n">
        <x:f>IF(F296=0,"n.a.",H296/F296)</x:f>
        <x:v>0.2611769872639438</x:v>
      </x:c>
      <x:c r="K296" s="9" t="n">
        <x:f>IF(D296=0,"n.a.",E296/D296)</x:f>
        <x:v>0.04767879548306148</x:v>
      </x:c>
    </x:row>
    <x:row r="297" ht="22" customHeight="1">
      <x:c r="A297" s="6" t="str">
        <x:f>'Source'!$C$304</x:f>
        <x:v>Reno, NV Metro Area</x:v>
      </x:c>
      <x:c r="B297" s="6" t="str">
        <x:f>'Source'!$B$304</x:f>
        <x:v>39900</x:v>
      </x:c>
      <x:c r="C297" s="7" t="n">
        <x:f>'Source'!$D$304</x:f>
        <x:v>2024</x:v>
      </x:c>
      <x:c r="D297" s="8" t="n">
        <x:f>'Source'!$N$304</x:f>
        <x:v>88309</x:v>
      </x:c>
      <x:c r="E297" s="8" t="n">
        <x:f>'Source'!$AH$304</x:f>
        <x:v>4004</x:v>
      </x:c>
      <x:c r="F297" s="8" t="n">
        <x:f>D297-E297</x:f>
        <x:v>84305</x:v>
      </x:c>
      <x:c r="G297" s="8" t="n">
        <x:f>SUM('Source'!$Z$304,'Source'!$AB$304,'Source'!$AD$304,'Source'!$AF$304)</x:f>
        <x:v>42765</x:v>
      </x:c>
      <x:c r="H297" s="8" t="n">
        <x:f>'Source'!$AF$304</x:f>
        <x:v>20002</x:v>
      </x:c>
      <x:c r="I297" s="9" t="n">
        <x:f>IF(F297=0,"n.a.",G297/F297)</x:f>
        <x:v>0.5072652867564201</x:v>
      </x:c>
      <x:c r="J297" s="9" t="n">
        <x:f>IF(F297=0,"n.a.",H297/F297)</x:f>
        <x:v>0.23725757665618885</x:v>
      </x:c>
      <x:c r="K297" s="9" t="n">
        <x:f>IF(D297=0,"n.a.",E297/D297)</x:f>
        <x:v>0.04534079199175622</x:v>
      </x:c>
    </x:row>
    <x:row r="298" ht="22" customHeight="1">
      <x:c r="A298" s="6" t="str">
        <x:f>'Source'!$C$305</x:f>
        <x:v>Richmond, VA Metro Area</x:v>
      </x:c>
      <x:c r="B298" s="6" t="str">
        <x:f>'Source'!$B$305</x:f>
        <x:v>40060</x:v>
      </x:c>
      <x:c r="C298" s="7" t="n">
        <x:f>'Source'!$D$305</x:f>
        <x:v>2024</x:v>
      </x:c>
      <x:c r="D298" s="8" t="n">
        <x:f>'Source'!$N$305</x:f>
        <x:v>186692</x:v>
      </x:c>
      <x:c r="E298" s="8" t="n">
        <x:f>'Source'!$AH$305</x:f>
        <x:v>11636</x:v>
      </x:c>
      <x:c r="F298" s="8" t="n">
        <x:f>D298-E298</x:f>
        <x:v>175056</x:v>
      </x:c>
      <x:c r="G298" s="8" t="n">
        <x:f>SUM('Source'!$Z$305,'Source'!$AB$305,'Source'!$AD$305,'Source'!$AF$305)</x:f>
        <x:v>91233</x:v>
      </x:c>
      <x:c r="H298" s="8" t="n">
        <x:f>'Source'!$AF$305</x:f>
        <x:v>47319</x:v>
      </x:c>
      <x:c r="I298" s="9" t="n">
        <x:f>IF(F298=0,"n.a.",G298/F298)</x:f>
        <x:v>0.5211646558815465</x:v>
      </x:c>
      <x:c r="J298" s="9" t="n">
        <x:f>IF(F298=0,"n.a.",H298/F298)</x:f>
        <x:v>0.27030778722237453</x:v>
      </x:c>
      <x:c r="K298" s="9" t="n">
        <x:f>IF(D298=0,"n.a.",E298/D298)</x:f>
        <x:v>0.0623272555867418</x:v>
      </x:c>
    </x:row>
    <x:row r="299" ht="22" customHeight="1">
      <x:c r="A299" s="6" t="str">
        <x:f>'Source'!$C$306</x:f>
        <x:v>Riverside-San Bernardino-Ontario, CA Metro Area</x:v>
      </x:c>
      <x:c r="B299" s="6" t="str">
        <x:f>'Source'!$B$306</x:f>
        <x:v>40140</x:v>
      </x:c>
      <x:c r="C299" s="7" t="n">
        <x:f>'Source'!$D$306</x:f>
        <x:v>2024</x:v>
      </x:c>
      <x:c r="D299" s="8" t="n">
        <x:f>'Source'!$N$306</x:f>
        <x:v>507535</x:v>
      </x:c>
      <x:c r="E299" s="8" t="n">
        <x:f>'Source'!$AH$306</x:f>
        <x:v>29805</x:v>
      </x:c>
      <x:c r="F299" s="8" t="n">
        <x:f>D299-E299</x:f>
        <x:v>477730</x:v>
      </x:c>
      <x:c r="G299" s="8" t="n">
        <x:f>SUM('Source'!$Z$306,'Source'!$AB$306,'Source'!$AD$306,'Source'!$AF$306)</x:f>
        <x:v>287480</x:v>
      </x:c>
      <x:c r="H299" s="8" t="n">
        <x:f>'Source'!$AF$306</x:f>
        <x:v>146138</x:v>
      </x:c>
      <x:c r="I299" s="9" t="n">
        <x:f>IF(F299=0,"n.a.",G299/F299)</x:f>
        <x:v>0.6017625018315785</x:v>
      </x:c>
      <x:c r="J299" s="9" t="n">
        <x:f>IF(F299=0,"n.a.",H299/F299)</x:f>
        <x:v>0.3059008226404036</x:v>
      </x:c>
      <x:c r="K299" s="9" t="n">
        <x:f>IF(D299=0,"n.a.",E299/D299)</x:f>
        <x:v>0.0587250140384407</x:v>
      </x:c>
    </x:row>
    <x:row r="300" ht="22" customHeight="1">
      <x:c r="A300" s="6" t="str">
        <x:f>'Source'!$C$307</x:f>
        <x:v>Roanoke, VA Metro Area</x:v>
      </x:c>
      <x:c r="B300" s="6" t="str">
        <x:f>'Source'!$B$307</x:f>
        <x:v>40220</x:v>
      </x:c>
      <x:c r="C300" s="7" t="n">
        <x:f>'Source'!$D$307</x:f>
        <x:v>2024</x:v>
      </x:c>
      <x:c r="D300" s="8" t="n">
        <x:f>'Source'!$N$307</x:f>
        <x:v>41359</x:v>
      </x:c>
      <x:c r="E300" s="8" t="n">
        <x:f>'Source'!$AH$307</x:f>
        <x:v>3726</x:v>
      </x:c>
      <x:c r="F300" s="8" t="n">
        <x:f>D300-E300</x:f>
        <x:v>37633</x:v>
      </x:c>
      <x:c r="G300" s="8" t="n">
        <x:f>SUM('Source'!$Z$307,'Source'!$AB$307,'Source'!$AD$307,'Source'!$AF$307)</x:f>
        <x:v>16826</x:v>
      </x:c>
      <x:c r="H300" s="8" t="n">
        <x:f>'Source'!$AF$307</x:f>
        <x:v>8270</x:v>
      </x:c>
      <x:c r="I300" s="9" t="n">
        <x:f>IF(F300=0,"n.a.",G300/F300)</x:f>
        <x:v>0.4471075917412909</x:v>
      </x:c>
      <x:c r="J300" s="9" t="n">
        <x:f>IF(F300=0,"n.a.",H300/F300)</x:f>
        <x:v>0.2197539393617304</x:v>
      </x:c>
      <x:c r="K300" s="9" t="n">
        <x:f>IF(D300=0,"n.a.",E300/D300)</x:f>
        <x:v>0.09008921879155686</x:v>
      </x:c>
    </x:row>
    <x:row r="301" ht="22" customHeight="1">
      <x:c r="A301" s="6" t="str">
        <x:f>'Source'!$C$308</x:f>
        <x:v>Rochester, MN Metro Area</x:v>
      </x:c>
      <x:c r="B301" s="6" t="str">
        <x:f>'Source'!$B$308</x:f>
        <x:v>40340</x:v>
      </x:c>
      <x:c r="C301" s="7" t="n">
        <x:f>'Source'!$D$308</x:f>
        <x:v>2024</x:v>
      </x:c>
      <x:c r="D301" s="8" t="n">
        <x:f>'Source'!$N$308</x:f>
        <x:v>24760</x:v>
      </x:c>
      <x:c r="E301" s="8" t="n">
        <x:f>'Source'!$AH$308</x:f>
        <x:v>1894</x:v>
      </x:c>
      <x:c r="F301" s="8" t="n">
        <x:f>D301-E301</x:f>
        <x:v>22866</x:v>
      </x:c>
      <x:c r="G301" s="8" t="n">
        <x:f>SUM('Source'!$Z$308,'Source'!$AB$308,'Source'!$AD$308,'Source'!$AF$308)</x:f>
        <x:v>11305</x:v>
      </x:c>
      <x:c r="H301" s="8" t="n">
        <x:f>'Source'!$AF$308</x:f>
        <x:v>4676</x:v>
      </x:c>
      <x:c r="I301" s="9" t="n">
        <x:f>IF(F301=0,"n.a.",G301/F301)</x:f>
        <x:v>0.49440216915945073</x:v>
      </x:c>
      <x:c r="J301" s="9" t="n">
        <x:f>IF(F301=0,"n.a.",H301/F301)</x:f>
        <x:v>0.20449575789381613</x:v>
      </x:c>
      <x:c r="K301" s="9" t="n">
        <x:f>IF(D301=0,"n.a.",E301/D301)</x:f>
        <x:v>0.07649434571890146</x:v>
      </x:c>
    </x:row>
    <x:row r="302" ht="22" customHeight="1">
      <x:c r="A302" s="6" t="str">
        <x:f>'Source'!$C$309</x:f>
        <x:v>Rochester, NY Metro Area</x:v>
      </x:c>
      <x:c r="B302" s="6" t="str">
        <x:f>'Source'!$B$309</x:f>
        <x:v>40380</x:v>
      </x:c>
      <x:c r="C302" s="7" t="n">
        <x:f>'Source'!$D$309</x:f>
        <x:v>2024</x:v>
      </x:c>
      <x:c r="D302" s="8" t="n">
        <x:f>'Source'!$N$309</x:f>
        <x:v>151515</x:v>
      </x:c>
      <x:c r="E302" s="8" t="n">
        <x:f>'Source'!$AH$309</x:f>
        <x:v>8719</x:v>
      </x:c>
      <x:c r="F302" s="8" t="n">
        <x:f>D302-E302</x:f>
        <x:v>142796</x:v>
      </x:c>
      <x:c r="G302" s="8" t="n">
        <x:f>SUM('Source'!$Z$309,'Source'!$AB$309,'Source'!$AD$309,'Source'!$AF$309)</x:f>
        <x:v>70974</x:v>
      </x:c>
      <x:c r="H302" s="8" t="n">
        <x:f>'Source'!$AF$309</x:f>
        <x:v>37880</x:v>
      </x:c>
      <x:c r="I302" s="9" t="n">
        <x:f>IF(F302=0,"n.a.",G302/F302)</x:f>
        <x:v>0.4970307291520771</x:v>
      </x:c>
      <x:c r="J302" s="9" t="n">
        <x:f>IF(F302=0,"n.a.",H302/F302)</x:f>
        <x:v>0.26527353707386764</x:v>
      </x:c>
      <x:c r="K302" s="9" t="n">
        <x:f>IF(D302=0,"n.a.",E302/D302)</x:f>
        <x:v>0.05754545754545755</x:v>
      </x:c>
    </x:row>
    <x:row r="303" ht="22" customHeight="1">
      <x:c r="A303" s="6" t="str">
        <x:f>'Source'!$C$310</x:f>
        <x:v>Rockford, IL Metro Area</x:v>
      </x:c>
      <x:c r="B303" s="6" t="str">
        <x:f>'Source'!$B$310</x:f>
        <x:v>40420</x:v>
      </x:c>
      <x:c r="C303" s="7" t="n">
        <x:f>'Source'!$D$310</x:f>
        <x:v>2024</x:v>
      </x:c>
      <x:c r="D303" s="8" t="n">
        <x:f>'Source'!$N$310</x:f>
        <x:v>43427</x:v>
      </x:c>
      <x:c r="E303" s="8" t="n">
        <x:f>'Source'!$AH$310</x:f>
        <x:v>2193</x:v>
      </x:c>
      <x:c r="F303" s="8" t="n">
        <x:f>D303-E303</x:f>
        <x:v>41234</x:v>
      </x:c>
      <x:c r="G303" s="8" t="n">
        <x:f>SUM('Source'!$Z$310,'Source'!$AB$310,'Source'!$AD$310,'Source'!$AF$310)</x:f>
        <x:v>20317</x:v>
      </x:c>
      <x:c r="H303" s="8" t="n">
        <x:f>'Source'!$AF$310</x:f>
        <x:v>10229</x:v>
      </x:c>
      <x:c r="I303" s="9" t="n">
        <x:f>IF(F303=0,"n.a.",G303/F303)</x:f>
        <x:v>0.49272445069602755</x:v>
      </x:c>
      <x:c r="J303" s="9" t="n">
        <x:f>IF(F303=0,"n.a.",H303/F303)</x:f>
        <x:v>0.2480719794344473</x:v>
      </x:c>
      <x:c r="K303" s="9" t="n">
        <x:f>IF(D303=0,"n.a.",E303/D303)</x:f>
        <x:v>0.050498537776037945</x:v>
      </x:c>
    </x:row>
    <x:row r="304" ht="22" customHeight="1">
      <x:c r="A304" s="6" t="str">
        <x:f>'Source'!$C$311</x:f>
        <x:v>Rocky Mount, NC Metro Area</x:v>
      </x:c>
      <x:c r="B304" s="6" t="str">
        <x:f>'Source'!$B$311</x:f>
        <x:v>40580</x:v>
      </x:c>
      <x:c r="C304" s="7" t="n">
        <x:f>'Source'!$D$311</x:f>
        <x:v>2024</x:v>
      </x:c>
      <x:c r="D304" s="8" t="n">
        <x:f>'Source'!$N$311</x:f>
        <x:v>22086</x:v>
      </x:c>
      <x:c r="E304" s="8" t="n">
        <x:f>'Source'!$AH$311</x:f>
        <x:v>2184</x:v>
      </x:c>
      <x:c r="F304" s="8" t="n">
        <x:f>D304-E304</x:f>
        <x:v>19902</x:v>
      </x:c>
      <x:c r="G304" s="8" t="n">
        <x:f>SUM('Source'!$Z$311,'Source'!$AB$311,'Source'!$AD$311,'Source'!$AF$311)</x:f>
        <x:v>9580</x:v>
      </x:c>
      <x:c r="H304" s="8" t="n">
        <x:f>'Source'!$AF$311</x:f>
        <x:v>4288</x:v>
      </x:c>
      <x:c r="I304" s="9" t="n">
        <x:f>IF(F304=0,"n.a.",G304/F304)</x:f>
        <x:v>0.4813586574213647</x:v>
      </x:c>
      <x:c r="J304" s="9" t="n">
        <x:f>IF(F304=0,"n.a.",H304/F304)</x:f>
        <x:v>0.21545573309215155</x:v>
      </x:c>
      <x:c r="K304" s="9" t="n">
        <x:f>IF(D304=0,"n.a.",E304/D304)</x:f>
        <x:v>0.0988861722358055</x:v>
      </x:c>
    </x:row>
    <x:row r="305" ht="22" customHeight="1">
      <x:c r="A305" s="6" t="str">
        <x:f>'Source'!$C$312</x:f>
        <x:v>Rome, GA Metro Area</x:v>
      </x:c>
      <x:c r="B305" s="6" t="str">
        <x:f>'Source'!$B$312</x:f>
        <x:v>40660</x:v>
      </x:c>
      <x:c r="C305" s="7" t="n">
        <x:f>'Source'!$D$312</x:f>
        <x:v>2024</x:v>
      </x:c>
      <x:c r="D305" s="8" t="n">
        <x:f>'Source'!$N$312</x:f>
        <x:v>13733</x:v>
      </x:c>
      <x:c r="E305" s="8" t="n">
        <x:f>'Source'!$AH$312</x:f>
        <x:v>1448</x:v>
      </x:c>
      <x:c r="F305" s="8" t="n">
        <x:f>D305-E305</x:f>
        <x:v>12285</x:v>
      </x:c>
      <x:c r="G305" s="8" t="n">
        <x:f>SUM('Source'!$Z$312,'Source'!$AB$312,'Source'!$AD$312,'Source'!$AF$312)</x:f>
        <x:v>6161</x:v>
      </x:c>
      <x:c r="H305" s="8" t="n">
        <x:f>'Source'!$AF$312</x:f>
        <x:v>1718</x:v>
      </x:c>
      <x:c r="I305" s="9" t="n">
        <x:f>IF(F305=0,"n.a.",G305/F305)</x:f>
        <x:v>0.5015059015059015</x:v>
      </x:c>
      <x:c r="J305" s="9" t="n">
        <x:f>IF(F305=0,"n.a.",H305/F305)</x:f>
        <x:v>0.13984533984533984</x:v>
      </x:c>
      <x:c r="K305" s="9" t="n">
        <x:f>IF(D305=0,"n.a.",E305/D305)</x:f>
        <x:v>0.10543945241389355</x:v>
      </x:c>
    </x:row>
    <x:row r="306" ht="22" customHeight="1">
      <x:c r="A306" s="6" t="str">
        <x:f>'Source'!$C$313</x:f>
        <x:v>Sacramento-Roseville-Folsom, CA Metro Area</x:v>
      </x:c>
      <x:c r="B306" s="6" t="str">
        <x:f>'Source'!$B$313</x:f>
        <x:v>40900</x:v>
      </x:c>
      <x:c r="C306" s="7" t="n">
        <x:f>'Source'!$D$313</x:f>
        <x:v>2024</x:v>
      </x:c>
      <x:c r="D306" s="8" t="n">
        <x:f>'Source'!$N$313</x:f>
        <x:v>327388</x:v>
      </x:c>
      <x:c r="E306" s="8" t="n">
        <x:f>'Source'!$AH$313</x:f>
        <x:v>19879</x:v>
      </x:c>
      <x:c r="F306" s="8" t="n">
        <x:f>D306-E306</x:f>
        <x:v>307509</x:v>
      </x:c>
      <x:c r="G306" s="8" t="n">
        <x:f>SUM('Source'!$Z$313,'Source'!$AB$313,'Source'!$AD$313,'Source'!$AF$313)</x:f>
        <x:v>175699</x:v>
      </x:c>
      <x:c r="H306" s="8" t="n">
        <x:f>'Source'!$AF$313</x:f>
        <x:v>96504</x:v>
      </x:c>
      <x:c r="I306" s="9" t="n">
        <x:f>IF(F306=0,"n.a.",G306/F306)</x:f>
        <x:v>0.5713621389943059</x:v>
      </x:c>
      <x:c r="J306" s="9" t="n">
        <x:f>IF(F306=0,"n.a.",H306/F306)</x:f>
        <x:v>0.3138249612206472</x:v>
      </x:c>
      <x:c r="K306" s="9" t="n">
        <x:f>IF(D306=0,"n.a.",E306/D306)</x:f>
        <x:v>0.06072000195486701</x:v>
      </x:c>
    </x:row>
    <x:row r="307" ht="22" customHeight="1">
      <x:c r="A307" s="6" t="str">
        <x:f>'Source'!$C$314</x:f>
        <x:v>Saginaw, MI Metro Area</x:v>
      </x:c>
      <x:c r="B307" s="6" t="str">
        <x:f>'Source'!$B$314</x:f>
        <x:v>40980</x:v>
      </x:c>
      <x:c r="C307" s="7" t="n">
        <x:f>'Source'!$D$314</x:f>
        <x:v>2024</x:v>
      </x:c>
      <x:c r="D307" s="8" t="n">
        <x:f>'Source'!$N$314</x:f>
        <x:v>19671</x:v>
      </x:c>
      <x:c r="E307" s="8" t="n">
        <x:f>'Source'!$AH$314</x:f>
        <x:v>1801</x:v>
      </x:c>
      <x:c r="F307" s="8" t="n">
        <x:f>D307-E307</x:f>
        <x:v>17870</x:v>
      </x:c>
      <x:c r="G307" s="8" t="n">
        <x:f>SUM('Source'!$Z$314,'Source'!$AB$314,'Source'!$AD$314,'Source'!$AF$314)</x:f>
        <x:v>9517</x:v>
      </x:c>
      <x:c r="H307" s="8" t="n">
        <x:f>'Source'!$AF$314</x:f>
        <x:v>5531</x:v>
      </x:c>
      <x:c r="I307" s="9" t="n">
        <x:f>IF(F307=0,"n.a.",G307/F307)</x:f>
        <x:v>0.5325685506435367</x:v>
      </x:c>
      <x:c r="J307" s="9" t="n">
        <x:f>IF(F307=0,"n.a.",H307/F307)</x:f>
        <x:v>0.3095131505316172</x:v>
      </x:c>
      <x:c r="K307" s="9" t="n">
        <x:f>IF(D307=0,"n.a.",E307/D307)</x:f>
        <x:v>0.09155609780895735</x:v>
      </x:c>
    </x:row>
    <x:row r="308" ht="22" customHeight="1">
      <x:c r="A308" s="6" t="str">
        <x:f>'Source'!$C$315</x:f>
        <x:v>Salem, OR Metro Area</x:v>
      </x:c>
      <x:c r="B308" s="6" t="str">
        <x:f>'Source'!$B$315</x:f>
        <x:v>41420</x:v>
      </x:c>
      <x:c r="C308" s="7" t="n">
        <x:f>'Source'!$D$315</x:f>
        <x:v>2024</x:v>
      </x:c>
      <x:c r="D308" s="8" t="n">
        <x:f>'Source'!$N$315</x:f>
        <x:v>61708</x:v>
      </x:c>
      <x:c r="E308" s="8" t="n">
        <x:f>'Source'!$AH$315</x:f>
        <x:v>1907</x:v>
      </x:c>
      <x:c r="F308" s="8" t="n">
        <x:f>D308-E308</x:f>
        <x:v>59801</x:v>
      </x:c>
      <x:c r="G308" s="8" t="n">
        <x:f>SUM('Source'!$Z$315,'Source'!$AB$315,'Source'!$AD$315,'Source'!$AF$315)</x:f>
        <x:v>31850</x:v>
      </x:c>
      <x:c r="H308" s="8" t="n">
        <x:f>'Source'!$AF$315</x:f>
        <x:v>14837</x:v>
      </x:c>
      <x:c r="I308" s="9" t="n">
        <x:f>IF(F308=0,"n.a.",G308/F308)</x:f>
        <x:v>0.5325997893011822</x:v>
      </x:c>
      <x:c r="J308" s="9" t="n">
        <x:f>IF(F308=0,"n.a.",H308/F308)</x:f>
        <x:v>0.24810621895954918</x:v>
      </x:c>
      <x:c r="K308" s="9" t="n">
        <x:f>IF(D308=0,"n.a.",E308/D308)</x:f>
        <x:v>0.03090361055292669</x:v>
      </x:c>
    </x:row>
    <x:row r="309" ht="22" customHeight="1">
      <x:c r="A309" s="6" t="str">
        <x:f>'Source'!$C$316</x:f>
        <x:v>Salinas, CA Metro Area</x:v>
      </x:c>
      <x:c r="B309" s="6" t="str">
        <x:f>'Source'!$B$316</x:f>
        <x:v>41500</x:v>
      </x:c>
      <x:c r="C309" s="7" t="n">
        <x:f>'Source'!$D$316</x:f>
        <x:v>2024</x:v>
      </x:c>
      <x:c r="D309" s="8" t="n">
        <x:f>'Source'!$N$316</x:f>
        <x:v>62754</x:v>
      </x:c>
      <x:c r="E309" s="8" t="n">
        <x:f>'Source'!$AH$316</x:f>
        <x:v>1967</x:v>
      </x:c>
      <x:c r="F309" s="8" t="n">
        <x:f>D309-E309</x:f>
        <x:v>60787</x:v>
      </x:c>
      <x:c r="G309" s="8" t="n">
        <x:f>SUM('Source'!$Z$316,'Source'!$AB$316,'Source'!$AD$316,'Source'!$AF$316)</x:f>
        <x:v>35250</x:v>
      </x:c>
      <x:c r="H309" s="8" t="n">
        <x:f>'Source'!$AF$316</x:f>
        <x:v>16798</x:v>
      </x:c>
      <x:c r="I309" s="9" t="n">
        <x:f>IF(F309=0,"n.a.",G309/F309)</x:f>
        <x:v>0.5798937272772139</x:v>
      </x:c>
      <x:c r="J309" s="9" t="n">
        <x:f>IF(F309=0,"n.a.",H309/F309)</x:f>
        <x:v>0.2763419810156777</x:v>
      </x:c>
      <x:c r="K309" s="9" t="n">
        <x:f>IF(D309=0,"n.a.",E309/D309)</x:f>
        <x:v>0.0313446154826784</x:v>
      </x:c>
    </x:row>
    <x:row r="310" ht="22" customHeight="1">
      <x:c r="A310" s="6" t="str">
        <x:f>'Source'!$C$317</x:f>
        <x:v>Salisbury, MD Metro Area</x:v>
      </x:c>
      <x:c r="B310" s="6" t="str">
        <x:f>'Source'!$B$317</x:f>
        <x:v>41540</x:v>
      </x:c>
      <x:c r="C310" s="7" t="n">
        <x:f>'Source'!$D$317</x:f>
        <x:v>2024</x:v>
      </x:c>
      <x:c r="D310" s="8" t="n">
        <x:f>'Source'!$N$317</x:f>
        <x:v>15349</x:v>
      </x:c>
      <x:c r="E310" s="8" t="n">
        <x:f>'Source'!$AH$317</x:f>
        <x:v>1311</x:v>
      </x:c>
      <x:c r="F310" s="8" t="n">
        <x:f>D310-E310</x:f>
        <x:v>14038</x:v>
      </x:c>
      <x:c r="G310" s="8" t="n">
        <x:f>SUM('Source'!$Z$317,'Source'!$AB$317,'Source'!$AD$317,'Source'!$AF$317)</x:f>
        <x:v>8036</x:v>
      </x:c>
      <x:c r="H310" s="8" t="n">
        <x:f>'Source'!$AF$317</x:f>
        <x:v>4542</x:v>
      </x:c>
      <x:c r="I310" s="9" t="n">
        <x:f>IF(F310=0,"n.a.",G310/F310)</x:f>
        <x:v>0.5724462174098874</x:v>
      </x:c>
      <x:c r="J310" s="9" t="n">
        <x:f>IF(F310=0,"n.a.",H310/F310)</x:f>
        <x:v>0.32355036329961534</x:v>
      </x:c>
      <x:c r="K310" s="9" t="n">
        <x:f>IF(D310=0,"n.a.",E310/D310)</x:f>
        <x:v>0.08541273047104046</x:v>
      </x:c>
    </x:row>
    <x:row r="311" ht="22" customHeight="1">
      <x:c r="A311" s="6" t="str">
        <x:f>'Source'!$C$318</x:f>
        <x:v>Salt Lake City-Murray, UT Metro Area</x:v>
      </x:c>
      <x:c r="B311" s="6" t="str">
        <x:f>'Source'!$B$318</x:f>
        <x:v>41620</x:v>
      </x:c>
      <x:c r="C311" s="7" t="n">
        <x:f>'Source'!$D$318</x:f>
        <x:v>2024</x:v>
      </x:c>
      <x:c r="D311" s="8" t="n">
        <x:f>'Source'!$N$318</x:f>
        <x:v>162475</x:v>
      </x:c>
      <x:c r="E311" s="8" t="n">
        <x:f>'Source'!$AH$318</x:f>
        <x:v>6701</x:v>
      </x:c>
      <x:c r="F311" s="8" t="n">
        <x:f>D311-E311</x:f>
        <x:v>155774</x:v>
      </x:c>
      <x:c r="G311" s="8" t="n">
        <x:f>SUM('Source'!$Z$318,'Source'!$AB$318,'Source'!$AD$318,'Source'!$AF$318)</x:f>
        <x:v>78387</x:v>
      </x:c>
      <x:c r="H311" s="8" t="n">
        <x:f>'Source'!$AF$318</x:f>
        <x:v>35091</x:v>
      </x:c>
      <x:c r="I311" s="9" t="n">
        <x:f>IF(F311=0,"n.a.",G311/F311)</x:f>
        <x:v>0.5032097782685172</x:v>
      </x:c>
      <x:c r="J311" s="9" t="n">
        <x:f>IF(F311=0,"n.a.",H311/F311)</x:f>
        <x:v>0.22526865844107488</x:v>
      </x:c>
      <x:c r="K311" s="9" t="n">
        <x:f>IF(D311=0,"n.a.",E311/D311)</x:f>
        <x:v>0.04124326819510694</x:v>
      </x:c>
    </x:row>
    <x:row r="312" ht="22" customHeight="1">
      <x:c r="A312" s="6" t="str">
        <x:f>'Source'!$C$319</x:f>
        <x:v>San Angelo, TX Metro Area</x:v>
      </x:c>
      <x:c r="B312" s="6" t="str">
        <x:f>'Source'!$B$319</x:f>
        <x:v>41660</x:v>
      </x:c>
      <x:c r="C312" s="7" t="n">
        <x:f>'Source'!$D$319</x:f>
        <x:v>2024</x:v>
      </x:c>
      <x:c r="D312" s="8" t="n">
        <x:f>'Source'!$N$319</x:f>
        <x:v>20094</x:v>
      </x:c>
      <x:c r="E312" s="8" t="n">
        <x:f>'Source'!$AH$319</x:f>
        <x:v>1503</x:v>
      </x:c>
      <x:c r="F312" s="8" t="n">
        <x:f>D312-E312</x:f>
        <x:v>18591</x:v>
      </x:c>
      <x:c r="G312" s="8" t="n">
        <x:f>SUM('Source'!$Z$319,'Source'!$AB$319,'Source'!$AD$319,'Source'!$AF$319)</x:f>
        <x:v>7928</x:v>
      </x:c>
      <x:c r="H312" s="8" t="n">
        <x:f>'Source'!$AF$319</x:f>
        <x:v>3330</x:v>
      </x:c>
      <x:c r="I312" s="9" t="n">
        <x:f>IF(F312=0,"n.a.",G312/F312)</x:f>
        <x:v>0.42644290247969446</x:v>
      </x:c>
      <x:c r="J312" s="9" t="n">
        <x:f>IF(F312=0,"n.a.",H312/F312)</x:f>
        <x:v>0.179118928513797</x:v>
      </x:c>
      <x:c r="K312" s="9" t="n">
        <x:f>IF(D312=0,"n.a.",E312/D312)</x:f>
        <x:v>0.07479844729770081</x:v>
      </x:c>
    </x:row>
    <x:row r="313" ht="22" customHeight="1">
      <x:c r="A313" s="6" t="str">
        <x:f>'Source'!$C$320</x:f>
        <x:v>San Antonio-New Braunfels, TX Metro Area</x:v>
      </x:c>
      <x:c r="B313" s="6" t="str">
        <x:f>'Source'!$B$320</x:f>
        <x:v>41700</x:v>
      </x:c>
      <x:c r="C313" s="7" t="n">
        <x:f>'Source'!$D$320</x:f>
        <x:v>2024</x:v>
      </x:c>
      <x:c r="D313" s="8" t="n">
        <x:f>'Source'!$N$320</x:f>
        <x:v>371338</x:v>
      </x:c>
      <x:c r="E313" s="8" t="n">
        <x:f>'Source'!$AH$320</x:f>
        <x:v>21443</x:v>
      </x:c>
      <x:c r="F313" s="8" t="n">
        <x:f>D313-E313</x:f>
        <x:v>349895</x:v>
      </x:c>
      <x:c r="G313" s="8" t="n">
        <x:f>SUM('Source'!$Z$320,'Source'!$AB$320,'Source'!$AD$320,'Source'!$AF$320)</x:f>
        <x:v>192034</x:v>
      </x:c>
      <x:c r="H313" s="8" t="n">
        <x:f>'Source'!$AF$320</x:f>
        <x:v>93105</x:v>
      </x:c>
      <x:c r="I313" s="9" t="n">
        <x:f>IF(F313=0,"n.a.",G313/F313)</x:f>
        <x:v>0.5488332213949899</x:v>
      </x:c>
      <x:c r="J313" s="9" t="n">
        <x:f>IF(F313=0,"n.a.",H313/F313)</x:f>
        <x:v>0.26609411394847027</x:v>
      </x:c>
      <x:c r="K313" s="9" t="n">
        <x:f>IF(D313=0,"n.a.",E313/D313)</x:f>
        <x:v>0.057745234799562666</x:v>
      </x:c>
    </x:row>
    <x:row r="314" ht="22" customHeight="1">
      <x:c r="A314" s="6" t="str">
        <x:f>'Source'!$C$321</x:f>
        <x:v>San Diego-Chula Vista-Carlsbad, CA Metro Area</x:v>
      </x:c>
      <x:c r="B314" s="6" t="str">
        <x:f>'Source'!$B$321</x:f>
        <x:v>41740</x:v>
      </x:c>
      <x:c r="C314" s="7" t="n">
        <x:f>'Source'!$D$321</x:f>
        <x:v>2024</x:v>
      </x:c>
      <x:c r="D314" s="8" t="n">
        <x:f>'Source'!$N$321</x:f>
        <x:v>539908</x:v>
      </x:c>
      <x:c r="E314" s="8" t="n">
        <x:f>'Source'!$AH$321</x:f>
        <x:v>22648</x:v>
      </x:c>
      <x:c r="F314" s="8" t="n">
        <x:f>D314-E314</x:f>
        <x:v>517260</x:v>
      </x:c>
      <x:c r="G314" s="8" t="n">
        <x:f>SUM('Source'!$Z$321,'Source'!$AB$321,'Source'!$AD$321,'Source'!$AF$321)</x:f>
        <x:v>301352</x:v>
      </x:c>
      <x:c r="H314" s="8" t="n">
        <x:f>'Source'!$AF$321</x:f>
        <x:v>153845</x:v>
      </x:c>
      <x:c r="I314" s="9" t="n">
        <x:f>IF(F314=0,"n.a.",G314/F314)</x:f>
        <x:v>0.5825928933225071</x:v>
      </x:c>
      <x:c r="J314" s="9" t="n">
        <x:f>IF(F314=0,"n.a.",H314/F314)</x:f>
        <x:v>0.2974229594401268</x:v>
      </x:c>
      <x:c r="K314" s="9" t="n">
        <x:f>IF(D314=0,"n.a.",E314/D314)</x:f>
        <x:v>0.04194788741785638</x:v>
      </x:c>
    </x:row>
    <x:row r="315" ht="22" customHeight="1">
      <x:c r="A315" s="6" t="str">
        <x:f>'Source'!$C$322</x:f>
        <x:v>San Francisco-Oakland-Fremont, CA Metro Area</x:v>
      </x:c>
      <x:c r="B315" s="6" t="str">
        <x:f>'Source'!$B$322</x:f>
        <x:v>41860</x:v>
      </x:c>
      <x:c r="C315" s="7" t="n">
        <x:f>'Source'!$D$322</x:f>
        <x:v>2024</x:v>
      </x:c>
      <x:c r="D315" s="8" t="n">
        <x:f>'Source'!$N$322</x:f>
        <x:v>795678</x:v>
      </x:c>
      <x:c r="E315" s="8" t="n">
        <x:f>'Source'!$AH$322</x:f>
        <x:v>37929</x:v>
      </x:c>
      <x:c r="F315" s="8" t="n">
        <x:f>D315-E315</x:f>
        <x:v>757749</x:v>
      </x:c>
      <x:c r="G315" s="8" t="n">
        <x:f>SUM('Source'!$Z$322,'Source'!$AB$322,'Source'!$AD$322,'Source'!$AF$322)</x:f>
        <x:v>364390</x:v>
      </x:c>
      <x:c r="H315" s="8" t="n">
        <x:f>'Source'!$AF$322</x:f>
        <x:v>189931</x:v>
      </x:c>
      <x:c r="I315" s="9" t="n">
        <x:f>IF(F315=0,"n.a.",G315/F315)</x:f>
        <x:v>0.4808848312567882</x:v>
      </x:c>
      <x:c r="J315" s="9" t="n">
        <x:f>IF(F315=0,"n.a.",H315/F315)</x:f>
        <x:v>0.25065160099188516</x:v>
      </x:c>
      <x:c r="K315" s="9" t="n">
        <x:f>IF(D315=0,"n.a.",E315/D315)</x:f>
        <x:v>0.04766878058712193</x:v>
      </x:c>
    </x:row>
    <x:row r="316" ht="22" customHeight="1">
      <x:c r="A316" s="6" t="str">
        <x:f>'Source'!$C$323</x:f>
        <x:v>San Jose-Sunnyvale-Santa Clara, CA Metro Area</x:v>
      </x:c>
      <x:c r="B316" s="6" t="str">
        <x:f>'Source'!$B$323</x:f>
        <x:v>41940</x:v>
      </x:c>
      <x:c r="C316" s="7" t="n">
        <x:f>'Source'!$D$323</x:f>
        <x:v>2024</x:v>
      </x:c>
      <x:c r="D316" s="8" t="n">
        <x:f>'Source'!$N$323</x:f>
        <x:v>315397</x:v>
      </x:c>
      <x:c r="E316" s="8" t="n">
        <x:f>'Source'!$AH$323</x:f>
        <x:v>11133</x:v>
      </x:c>
      <x:c r="F316" s="8" t="n">
        <x:f>D316-E316</x:f>
        <x:v>304264</x:v>
      </x:c>
      <x:c r="G316" s="8" t="n">
        <x:f>SUM('Source'!$Z$323,'Source'!$AB$323,'Source'!$AD$323,'Source'!$AF$323)</x:f>
        <x:v>137271</x:v>
      </x:c>
      <x:c r="H316" s="8" t="n">
        <x:f>'Source'!$AF$323</x:f>
        <x:v>65292</x:v>
      </x:c>
      <x:c r="I316" s="9" t="n">
        <x:f>IF(F316=0,"n.a.",G316/F316)</x:f>
        <x:v>0.4511575473930534</x:v>
      </x:c>
      <x:c r="J316" s="9" t="n">
        <x:f>IF(F316=0,"n.a.",H316/F316)</x:f>
        <x:v>0.2145899613493545</x:v>
      </x:c>
      <x:c r="K316" s="9" t="n">
        <x:f>IF(D316=0,"n.a.",E316/D316)</x:f>
        <x:v>0.03529836999083694</x:v>
      </x:c>
    </x:row>
    <x:row r="317" ht="22" customHeight="1">
      <x:c r="A317" s="6" t="str">
        <x:f>'Source'!$C$324</x:f>
        <x:v>San Luis Obispo-Paso Robles, CA Metro Area</x:v>
      </x:c>
      <x:c r="B317" s="6" t="str">
        <x:f>'Source'!$B$324</x:f>
        <x:v>42020</x:v>
      </x:c>
      <x:c r="C317" s="7" t="n">
        <x:f>'Source'!$D$324</x:f>
        <x:v>2024</x:v>
      </x:c>
      <x:c r="D317" s="8" t="n">
        <x:f>'Source'!$N$324</x:f>
        <x:v>41280</x:v>
      </x:c>
      <x:c r="E317" s="8" t="n">
        <x:f>'Source'!$AH$324</x:f>
        <x:v>2904</x:v>
      </x:c>
      <x:c r="F317" s="8" t="n">
        <x:f>D317-E317</x:f>
        <x:v>38376</x:v>
      </x:c>
      <x:c r="G317" s="8" t="n">
        <x:f>SUM('Source'!$Z$324,'Source'!$AB$324,'Source'!$AD$324,'Source'!$AF$324)</x:f>
        <x:v>23404</x:v>
      </x:c>
      <x:c r="H317" s="8" t="n">
        <x:f>'Source'!$AF$324</x:f>
        <x:v>12201</x:v>
      </x:c>
      <x:c r="I317" s="9" t="n">
        <x:f>IF(F317=0,"n.a.",G317/F317)</x:f>
        <x:v>0.6098603293725245</x:v>
      </x:c>
      <x:c r="J317" s="9" t="n">
        <x:f>IF(F317=0,"n.a.",H317/F317)</x:f>
        <x:v>0.3179330831769856</x:v>
      </x:c>
      <x:c r="K317" s="9" t="n">
        <x:f>IF(D317=0,"n.a.",E317/D317)</x:f>
        <x:v>0.07034883720930232</x:v>
      </x:c>
    </x:row>
    <x:row r="318" ht="22" customHeight="1">
      <x:c r="A318" s="6" t="str">
        <x:f>'Source'!$C$325</x:f>
        <x:v>Sandusky, OH Metro Area</x:v>
      </x:c>
      <x:c r="B318" s="6" t="str">
        <x:f>'Source'!$B$325</x:f>
        <x:v>41780</x:v>
      </x:c>
      <x:c r="C318" s="7" t="n">
        <x:f>'Source'!$D$325</x:f>
        <x:v>2024</x:v>
      </x:c>
      <x:c r="D318" s="8" t="n">
        <x:f>'Source'!$N$325</x:f>
        <x:v>10835</x:v>
      </x:c>
      <x:c r="E318" s="8" t="n">
        <x:f>'Source'!$AH$325</x:f>
        <x:v>1098</x:v>
      </x:c>
      <x:c r="F318" s="8" t="n">
        <x:f>D318-E318</x:f>
        <x:v>9737</x:v>
      </x:c>
      <x:c r="G318" s="8" t="n">
        <x:f>SUM('Source'!$Z$325,'Source'!$AB$325,'Source'!$AD$325,'Source'!$AF$325)</x:f>
        <x:v>4852</x:v>
      </x:c>
      <x:c r="H318" s="8" t="n">
        <x:f>'Source'!$AF$325</x:f>
        <x:v>2584</x:v>
      </x:c>
      <x:c r="I318" s="9" t="n">
        <x:f>IF(F318=0,"n.a.",G318/F318)</x:f>
        <x:v>0.4983054328848721</x:v>
      </x:c>
      <x:c r="J318" s="9" t="n">
        <x:f>IF(F318=0,"n.a.",H318/F318)</x:f>
        <x:v>0.2653794803327514</x:v>
      </x:c>
      <x:c r="K318" s="9" t="n">
        <x:f>IF(D318=0,"n.a.",E318/D318)</x:f>
        <x:v>0.10133825565297647</x:v>
      </x:c>
    </x:row>
    <x:row r="319" ht="22" customHeight="1">
      <x:c r="A319" s="6" t="str">
        <x:f>'Source'!$C$326</x:f>
        <x:v>Santa Cruz-Watsonville, CA Metro Area</x:v>
      </x:c>
      <x:c r="B319" s="6" t="str">
        <x:f>'Source'!$B$326</x:f>
        <x:v>42100</x:v>
      </x:c>
      <x:c r="C319" s="7" t="n">
        <x:f>'Source'!$D$326</x:f>
        <x:v>2024</x:v>
      </x:c>
      <x:c r="D319" s="8" t="n">
        <x:f>'Source'!$N$326</x:f>
        <x:v>41053</x:v>
      </x:c>
      <x:c r="E319" s="8" t="n">
        <x:f>'Source'!$AH$326</x:f>
        <x:v>2217</x:v>
      </x:c>
      <x:c r="F319" s="8" t="n">
        <x:f>D319-E319</x:f>
        <x:v>38836</x:v>
      </x:c>
      <x:c r="G319" s="8" t="n">
        <x:f>SUM('Source'!$Z$326,'Source'!$AB$326,'Source'!$AD$326,'Source'!$AF$326)</x:f>
        <x:v>21527</x:v>
      </x:c>
      <x:c r="H319" s="8" t="n">
        <x:f>'Source'!$AF$326</x:f>
        <x:v>11146</x:v>
      </x:c>
      <x:c r="I319" s="9" t="n">
        <x:f>IF(F319=0,"n.a.",G319/F319)</x:f>
        <x:v>0.5543052837573386</x:v>
      </x:c>
      <x:c r="J319" s="9" t="n">
        <x:f>IF(F319=0,"n.a.",H319/F319)</x:f>
        <x:v>0.2870017509527243</x:v>
      </x:c>
      <x:c r="K319" s="9" t="n">
        <x:f>IF(D319=0,"n.a.",E319/D319)</x:f>
        <x:v>0.054003361508294156</x:v>
      </x:c>
    </x:row>
    <x:row r="320" ht="22" customHeight="1">
      <x:c r="A320" s="6" t="str">
        <x:f>'Source'!$C$327</x:f>
        <x:v>Santa Fe, NM Metro Area</x:v>
      </x:c>
      <x:c r="B320" s="6" t="str">
        <x:f>'Source'!$B$327</x:f>
        <x:v>42140</x:v>
      </x:c>
      <x:c r="C320" s="7" t="n">
        <x:f>'Source'!$D$327</x:f>
        <x:v>2024</x:v>
      </x:c>
      <x:c r="D320" s="8" t="n">
        <x:f>'Source'!$N$327</x:f>
        <x:v>19658</x:v>
      </x:c>
      <x:c r="E320" s="8" t="n">
        <x:f>'Source'!$AH$327</x:f>
        <x:v>1610</x:v>
      </x:c>
      <x:c r="F320" s="8" t="n">
        <x:f>D320-E320</x:f>
        <x:v>18048</x:v>
      </x:c>
      <x:c r="G320" s="8" t="n">
        <x:f>SUM('Source'!$Z$327,'Source'!$AB$327,'Source'!$AD$327,'Source'!$AF$327)</x:f>
        <x:v>10088</x:v>
      </x:c>
      <x:c r="H320" s="8" t="n">
        <x:f>'Source'!$AF$327</x:f>
        <x:v>5298</x:v>
      </x:c>
      <x:c r="I320" s="9" t="n">
        <x:f>IF(F320=0,"n.a.",G320/F320)</x:f>
        <x:v>0.5589539007092199</x:v>
      </x:c>
      <x:c r="J320" s="9" t="n">
        <x:f>IF(F320=0,"n.a.",H320/F320)</x:f>
        <x:v>0.2935505319148936</x:v>
      </x:c>
      <x:c r="K320" s="9" t="n">
        <x:f>IF(D320=0,"n.a.",E320/D320)</x:f>
        <x:v>0.08190049852477363</x:v>
      </x:c>
    </x:row>
    <x:row r="321" ht="22" customHeight="1">
      <x:c r="A321" s="6" t="str">
        <x:f>'Source'!$C$328</x:f>
        <x:v>Santa Maria-Santa Barbara, CA Metro Area</x:v>
      </x:c>
      <x:c r="B321" s="6" t="str">
        <x:f>'Source'!$B$328</x:f>
        <x:v>42200</x:v>
      </x:c>
      <x:c r="C321" s="7" t="n">
        <x:f>'Source'!$D$328</x:f>
        <x:v>2024</x:v>
      </x:c>
      <x:c r="D321" s="8" t="n">
        <x:f>'Source'!$N$328</x:f>
        <x:v>71846</x:v>
      </x:c>
      <x:c r="E321" s="8" t="n">
        <x:f>'Source'!$AH$328</x:f>
        <x:v>3189</x:v>
      </x:c>
      <x:c r="F321" s="8" t="n">
        <x:f>D321-E321</x:f>
        <x:v>68657</x:v>
      </x:c>
      <x:c r="G321" s="8" t="n">
        <x:f>SUM('Source'!$Z$328,'Source'!$AB$328,'Source'!$AD$328,'Source'!$AF$328)</x:f>
        <x:v>40295</x:v>
      </x:c>
      <x:c r="H321" s="8" t="n">
        <x:f>'Source'!$AF$328</x:f>
        <x:v>22389</x:v>
      </x:c>
      <x:c r="I321" s="9" t="n">
        <x:f>IF(F321=0,"n.a.",G321/F321)</x:f>
        <x:v>0.5869030106179997</x:v>
      </x:c>
      <x:c r="J321" s="9" t="n">
        <x:f>IF(F321=0,"n.a.",H321/F321)</x:f>
        <x:v>0.3260993052420001</x:v>
      </x:c>
      <x:c r="K321" s="9" t="n">
        <x:f>IF(D321=0,"n.a.",E321/D321)</x:f>
        <x:v>0.044386604682237006</x:v>
      </x:c>
    </x:row>
    <x:row r="322" ht="22" customHeight="1">
      <x:c r="A322" s="6" t="str">
        <x:f>'Source'!$C$329</x:f>
        <x:v>Santa Rosa-Petaluma, CA Metro Area</x:v>
      </x:c>
      <x:c r="B322" s="6" t="str">
        <x:f>'Source'!$B$329</x:f>
        <x:v>42220</x:v>
      </x:c>
      <x:c r="C322" s="7" t="n">
        <x:f>'Source'!$D$329</x:f>
        <x:v>2024</x:v>
      </x:c>
      <x:c r="D322" s="8" t="n">
        <x:f>'Source'!$N$329</x:f>
        <x:v>67884</x:v>
      </x:c>
      <x:c r="E322" s="8" t="n">
        <x:f>'Source'!$AH$329</x:f>
        <x:v>4630</x:v>
      </x:c>
      <x:c r="F322" s="8" t="n">
        <x:f>D322-E322</x:f>
        <x:v>63254</x:v>
      </x:c>
      <x:c r="G322" s="8" t="n">
        <x:f>SUM('Source'!$Z$329,'Source'!$AB$329,'Source'!$AD$329,'Source'!$AF$329)</x:f>
        <x:v>34842</x:v>
      </x:c>
      <x:c r="H322" s="8" t="n">
        <x:f>'Source'!$AF$329</x:f>
        <x:v>17410</x:v>
      </x:c>
      <x:c r="I322" s="9" t="n">
        <x:f>IF(F322=0,"n.a.",G322/F322)</x:f>
        <x:v>0.5508268251810162</x:v>
      </x:c>
      <x:c r="J322" s="9" t="n">
        <x:f>IF(F322=0,"n.a.",H322/F322)</x:f>
        <x:v>0.2752395105447877</x:v>
      </x:c>
      <x:c r="K322" s="9" t="n">
        <x:f>IF(D322=0,"n.a.",E322/D322)</x:f>
        <x:v>0.0682045842908491</x:v>
      </x:c>
    </x:row>
    <x:row r="323" ht="22" customHeight="1">
      <x:c r="A323" s="6" t="str">
        <x:f>'Source'!$C$330</x:f>
        <x:v>Savannah, GA Metro Area</x:v>
      </x:c>
      <x:c r="B323" s="6" t="str">
        <x:f>'Source'!$B$330</x:f>
        <x:v>42340</x:v>
      </x:c>
      <x:c r="C323" s="7" t="n">
        <x:f>'Source'!$D$330</x:f>
        <x:v>2024</x:v>
      </x:c>
      <x:c r="D323" s="8" t="n">
        <x:f>'Source'!$N$330</x:f>
        <x:v>57336</x:v>
      </x:c>
      <x:c r="E323" s="8" t="n">
        <x:f>'Source'!$AH$330</x:f>
        <x:v>4315</x:v>
      </x:c>
      <x:c r="F323" s="8" t="n">
        <x:f>D323-E323</x:f>
        <x:v>53021</x:v>
      </x:c>
      <x:c r="G323" s="8" t="n">
        <x:f>SUM('Source'!$Z$330,'Source'!$AB$330,'Source'!$AD$330,'Source'!$AF$330)</x:f>
        <x:v>29812</x:v>
      </x:c>
      <x:c r="H323" s="8" t="n">
        <x:f>'Source'!$AF$330</x:f>
        <x:v>15295</x:v>
      </x:c>
      <x:c r="I323" s="9" t="n">
        <x:f>IF(F323=0,"n.a.",G323/F323)</x:f>
        <x:v>0.5622677806906697</x:v>
      </x:c>
      <x:c r="J323" s="9" t="n">
        <x:f>IF(F323=0,"n.a.",H323/F323)</x:f>
        <x:v>0.2884706059863073</x:v>
      </x:c>
      <x:c r="K323" s="9" t="n">
        <x:f>IF(D323=0,"n.a.",E323/D323)</x:f>
        <x:v>0.07525812752895214</x:v>
      </x:c>
    </x:row>
    <x:row r="324" ht="22" customHeight="1">
      <x:c r="A324" s="6" t="str">
        <x:f>'Source'!$C$331</x:f>
        <x:v>Scranton--Wilkes-Barre, PA Metro Area</x:v>
      </x:c>
      <x:c r="B324" s="6" t="str">
        <x:f>'Source'!$B$331</x:f>
        <x:v>42540</x:v>
      </x:c>
      <x:c r="C324" s="7" t="n">
        <x:f>'Source'!$D$331</x:f>
        <x:v>2024</x:v>
      </x:c>
      <x:c r="D324" s="8" t="n">
        <x:f>'Source'!$N$331</x:f>
        <x:v>77952</x:v>
      </x:c>
      <x:c r="E324" s="8" t="n">
        <x:f>'Source'!$AH$331</x:f>
        <x:v>7351</x:v>
      </x:c>
      <x:c r="F324" s="8" t="n">
        <x:f>D324-E324</x:f>
        <x:v>70601</x:v>
      </x:c>
      <x:c r="G324" s="8" t="n">
        <x:f>SUM('Source'!$Z$331,'Source'!$AB$331,'Source'!$AD$331,'Source'!$AF$331)</x:f>
        <x:v>33649</x:v>
      </x:c>
      <x:c r="H324" s="8" t="n">
        <x:f>'Source'!$AF$331</x:f>
        <x:v>16825</x:v>
      </x:c>
      <x:c r="I324" s="9" t="n">
        <x:f>IF(F324=0,"n.a.",G324/F324)</x:f>
        <x:v>0.4766079800569397</x:v>
      </x:c>
      <x:c r="J324" s="9" t="n">
        <x:f>IF(F324=0,"n.a.",H324/F324)</x:f>
        <x:v>0.238311072081132</x:v>
      </x:c>
      <x:c r="K324" s="9" t="n">
        <x:f>IF(D324=0,"n.a.",E324/D324)</x:f>
        <x:v>0.09430162151067323</x:v>
      </x:c>
    </x:row>
    <x:row r="325" ht="22" customHeight="1">
      <x:c r="A325" s="6" t="str">
        <x:f>'Source'!$C$332</x:f>
        <x:v>Seattle-Tacoma-Bellevue, WA Metro Area</x:v>
      </x:c>
      <x:c r="B325" s="6" t="str">
        <x:f>'Source'!$B$332</x:f>
        <x:v>42660</x:v>
      </x:c>
      <x:c r="C325" s="7" t="n">
        <x:f>'Source'!$D$332</x:f>
        <x:v>2024</x:v>
      </x:c>
      <x:c r="D325" s="8" t="n">
        <x:f>'Source'!$N$332</x:f>
        <x:v>690498</x:v>
      </x:c>
      <x:c r="E325" s="8" t="n">
        <x:f>'Source'!$AH$332</x:f>
        <x:v>23458</x:v>
      </x:c>
      <x:c r="F325" s="8" t="n">
        <x:f>D325-E325</x:f>
        <x:v>667040</x:v>
      </x:c>
      <x:c r="G325" s="8" t="n">
        <x:f>SUM('Source'!$Z$332,'Source'!$AB$332,'Source'!$AD$332,'Source'!$AF$332)</x:f>
        <x:v>335582</x:v>
      </x:c>
      <x:c r="H325" s="8" t="n">
        <x:f>'Source'!$AF$332</x:f>
        <x:v>155793</x:v>
      </x:c>
      <x:c r="I325" s="9" t="n">
        <x:f>IF(F325=0,"n.a.",G325/F325)</x:f>
        <x:v>0.5030912688894219</x:v>
      </x:c>
      <x:c r="J325" s="9" t="n">
        <x:f>IF(F325=0,"n.a.",H325/F325)</x:f>
        <x:v>0.23355870712401056</x:v>
      </x:c>
      <x:c r="K325" s="9" t="n">
        <x:f>IF(D325=0,"n.a.",E325/D325)</x:f>
        <x:v>0.033972582107406536</x:v>
      </x:c>
    </x:row>
    <x:row r="326" ht="22" customHeight="1">
      <x:c r="A326" s="6" t="str">
        <x:f>'Source'!$C$333</x:f>
        <x:v>Sebastian-Vero Beach-West Vero Corridor, FL Metro Area</x:v>
      </x:c>
      <x:c r="B326" s="6" t="str">
        <x:f>'Source'!$B$333</x:f>
        <x:v>42680</x:v>
      </x:c>
      <x:c r="C326" s="7" t="n">
        <x:f>'Source'!$D$333</x:f>
        <x:v>2024</x:v>
      </x:c>
      <x:c r="D326" s="8" t="n">
        <x:f>'Source'!$N$333</x:f>
        <x:v>13475</x:v>
      </x:c>
      <x:c r="E326" s="8" t="n">
        <x:f>'Source'!$AH$333</x:f>
        <x:v>1208</x:v>
      </x:c>
      <x:c r="F326" s="8" t="n">
        <x:f>D326-E326</x:f>
        <x:v>12267</x:v>
      </x:c>
      <x:c r="G326" s="8" t="n">
        <x:f>SUM('Source'!$Z$333,'Source'!$AB$333,'Source'!$AD$333,'Source'!$AF$333)</x:f>
        <x:v>7082</x:v>
      </x:c>
      <x:c r="H326" s="8" t="n">
        <x:f>'Source'!$AF$333</x:f>
        <x:v>3056</x:v>
      </x:c>
      <x:c r="I326" s="9" t="n">
        <x:f>IF(F326=0,"n.a.",G326/F326)</x:f>
        <x:v>0.5773212684437923</x:v>
      </x:c>
      <x:c r="J326" s="9" t="n">
        <x:f>IF(F326=0,"n.a.",H326/F326)</x:f>
        <x:v>0.2491236651177957</x:v>
      </x:c>
      <x:c r="K326" s="9" t="n">
        <x:f>IF(D326=0,"n.a.",E326/D326)</x:f>
        <x:v>0.08964749536178107</x:v>
      </x:c>
    </x:row>
    <x:row r="327" ht="22" customHeight="1">
      <x:c r="A327" s="6" t="str">
        <x:f>'Source'!$C$334</x:f>
        <x:v>Sebring, FL Metro Area</x:v>
      </x:c>
      <x:c r="B327" s="6" t="str">
        <x:f>'Source'!$B$334</x:f>
        <x:v>42700</x:v>
      </x:c>
      <x:c r="C327" s="7" t="n">
        <x:f>'Source'!$D$334</x:f>
        <x:v>2024</x:v>
      </x:c>
      <x:c r="D327" s="8" t="n">
        <x:f>'Source'!$N$334</x:f>
        <x:v>10909</x:v>
      </x:c>
      <x:c r="E327" s="8" t="n">
        <x:f>'Source'!$AH$334</x:f>
        <x:v>1152</x:v>
      </x:c>
      <x:c r="F327" s="8" t="n">
        <x:f>D327-E327</x:f>
        <x:v>9757</x:v>
      </x:c>
      <x:c r="G327" s="8" t="n">
        <x:f>SUM('Source'!$Z$334,'Source'!$AB$334,'Source'!$AD$334,'Source'!$AF$334)</x:f>
        <x:v>6677</x:v>
      </x:c>
      <x:c r="H327" s="8" t="n">
        <x:f>'Source'!$AF$334</x:f>
        <x:v>2551</x:v>
      </x:c>
      <x:c r="I327" s="9" t="n">
        <x:f>IF(F327=0,"n.a.",G327/F327)</x:f>
        <x:v>0.6843291995490417</x:v>
      </x:c>
      <x:c r="J327" s="9" t="n">
        <x:f>IF(F327=0,"n.a.",H327/F327)</x:f>
        <x:v>0.2614533155683099</x:v>
      </x:c>
      <x:c r="K327" s="9" t="n">
        <x:f>IF(D327=0,"n.a.",E327/D327)</x:f>
        <x:v>0.10560088000733339</x:v>
      </x:c>
    </x:row>
    <x:row r="328" ht="22" customHeight="1">
      <x:c r="A328" s="6" t="str">
        <x:f>'Source'!$C$335</x:f>
        <x:v>Sheboygan, WI Metro Area</x:v>
      </x:c>
      <x:c r="B328" s="6" t="str">
        <x:f>'Source'!$B$335</x:f>
        <x:v>43100</x:v>
      </x:c>
      <x:c r="C328" s="7" t="n">
        <x:f>'Source'!$D$335</x:f>
        <x:v>2024</x:v>
      </x:c>
      <x:c r="D328" s="8" t="n">
        <x:f>'Source'!$N$335</x:f>
        <x:v>14038</x:v>
      </x:c>
      <x:c r="E328" s="8" t="n">
        <x:f>'Source'!$AH$335</x:f>
        <x:v>901</x:v>
      </x:c>
      <x:c r="F328" s="8" t="n">
        <x:f>D328-E328</x:f>
        <x:v>13137</x:v>
      </x:c>
      <x:c r="G328" s="8" t="n">
        <x:f>SUM('Source'!$Z$335,'Source'!$AB$335,'Source'!$AD$335,'Source'!$AF$335)</x:f>
        <x:v>4914</x:v>
      </x:c>
      <x:c r="H328" s="8" t="n">
        <x:f>'Source'!$AF$335</x:f>
        <x:v>2278</x:v>
      </x:c>
      <x:c r="I328" s="9" t="n">
        <x:f>IF(F328=0,"n.a.",G328/F328)</x:f>
        <x:v>0.37405800411052753</x:v>
      </x:c>
      <x:c r="J328" s="9" t="n">
        <x:f>IF(F328=0,"n.a.",H328/F328)</x:f>
        <x:v>0.17340336454289412</x:v>
      </x:c>
      <x:c r="K328" s="9" t="n">
        <x:f>IF(D328=0,"n.a.",E328/D328)</x:f>
        <x:v>0.06418293204160137</x:v>
      </x:c>
    </x:row>
    <x:row r="329" ht="22" customHeight="1">
      <x:c r="A329" s="6" t="str">
        <x:f>'Source'!$C$336</x:f>
        <x:v>Sherman-Denison, TX Metro Area</x:v>
      </x:c>
      <x:c r="B329" s="6" t="str">
        <x:f>'Source'!$B$336</x:f>
        <x:v>43300</x:v>
      </x:c>
      <x:c r="C329" s="7" t="n">
        <x:f>'Source'!$D$336</x:f>
        <x:v>2024</x:v>
      </x:c>
      <x:c r="D329" s="8" t="n">
        <x:f>'Source'!$N$336</x:f>
        <x:v>19996</x:v>
      </x:c>
      <x:c r="E329" s="8" t="n">
        <x:f>'Source'!$AH$336</x:f>
        <x:v>1276</x:v>
      </x:c>
      <x:c r="F329" s="8" t="n">
        <x:f>D329-E329</x:f>
        <x:v>18720</x:v>
      </x:c>
      <x:c r="G329" s="8" t="n">
        <x:f>SUM('Source'!$Z$336,'Source'!$AB$336,'Source'!$AD$336,'Source'!$AF$336)</x:f>
        <x:v>10571</x:v>
      </x:c>
      <x:c r="H329" s="8" t="n">
        <x:f>'Source'!$AF$336</x:f>
        <x:v>4309</x:v>
      </x:c>
      <x:c r="I329" s="9" t="n">
        <x:f>IF(F329=0,"n.a.",G329/F329)</x:f>
        <x:v>0.5646901709401709</x:v>
      </x:c>
      <x:c r="J329" s="9" t="n">
        <x:f>IF(F329=0,"n.a.",H329/F329)</x:f>
        <x:v>0.23018162393162392</x:v>
      </x:c>
      <x:c r="K329" s="9" t="n">
        <x:f>IF(D329=0,"n.a.",E329/D329)</x:f>
        <x:v>0.0638127625525105</x:v>
      </x:c>
    </x:row>
    <x:row r="330" ht="22" customHeight="1">
      <x:c r="A330" s="6" t="str">
        <x:f>'Source'!$C$337</x:f>
        <x:v>Shreveport-Bossier City, LA Metro Area</x:v>
      </x:c>
      <x:c r="B330" s="6" t="str">
        <x:f>'Source'!$B$337</x:f>
        <x:v>43340</x:v>
      </x:c>
      <x:c r="C330" s="7" t="n">
        <x:f>'Source'!$D$337</x:f>
        <x:v>2024</x:v>
      </x:c>
      <x:c r="D330" s="8" t="n">
        <x:f>'Source'!$N$337</x:f>
        <x:v>58643</x:v>
      </x:c>
      <x:c r="E330" s="8" t="n">
        <x:f>'Source'!$AH$337</x:f>
        <x:v>7210</x:v>
      </x:c>
      <x:c r="F330" s="8" t="n">
        <x:f>D330-E330</x:f>
        <x:v>51433</x:v>
      </x:c>
      <x:c r="G330" s="8" t="n">
        <x:f>SUM('Source'!$Z$337,'Source'!$AB$337,'Source'!$AD$337,'Source'!$AF$337)</x:f>
        <x:v>28770</x:v>
      </x:c>
      <x:c r="H330" s="8" t="n">
        <x:f>'Source'!$AF$337</x:f>
        <x:v>14302</x:v>
      </x:c>
      <x:c r="I330" s="9" t="n">
        <x:f>IF(F330=0,"n.a.",G330/F330)</x:f>
        <x:v>0.5593684988237124</x:v>
      </x:c>
      <x:c r="J330" s="9" t="n">
        <x:f>IF(F330=0,"n.a.",H330/F330)</x:f>
        <x:v>0.2780704994847666</x:v>
      </x:c>
      <x:c r="K330" s="9" t="n">
        <x:f>IF(D330=0,"n.a.",E330/D330)</x:f>
        <x:v>0.12294732534147298</x:v>
      </x:c>
    </x:row>
    <x:row r="331" ht="22" customHeight="1">
      <x:c r="A331" s="6" t="str">
        <x:f>'Source'!$C$338</x:f>
        <x:v>Sierra Vista-Douglas, AZ Metro Area</x:v>
      </x:c>
      <x:c r="B331" s="6" t="str">
        <x:f>'Source'!$B$338</x:f>
        <x:v>43420</x:v>
      </x:c>
      <x:c r="C331" s="7" t="n">
        <x:f>'Source'!$D$338</x:f>
        <x:v>2024</x:v>
      </x:c>
      <x:c r="D331" s="8" t="n">
        <x:f>'Source'!$N$338</x:f>
        <x:v>14660</x:v>
      </x:c>
      <x:c r="E331" s="8" t="n">
        <x:f>'Source'!$AH$338</x:f>
        <x:v>1193</x:v>
      </x:c>
      <x:c r="F331" s="8" t="n">
        <x:f>D331-E331</x:f>
        <x:v>13467</x:v>
      </x:c>
      <x:c r="G331" s="8" t="n">
        <x:f>SUM('Source'!$Z$338,'Source'!$AB$338,'Source'!$AD$338,'Source'!$AF$338)</x:f>
        <x:v>5630</x:v>
      </x:c>
      <x:c r="H331" s="8" t="n">
        <x:f>'Source'!$AF$338</x:f>
        <x:v>1944</x:v>
      </x:c>
      <x:c r="I331" s="9" t="n">
        <x:f>IF(F331=0,"n.a.",G331/F331)</x:f>
        <x:v>0.41805895893666</x:v>
      </x:c>
      <x:c r="J331" s="9" t="n">
        <x:f>IF(F331=0,"n.a.",H331/F331)</x:f>
        <x:v>0.1443528625529071</x:v>
      </x:c>
      <x:c r="K331" s="9" t="n">
        <x:f>IF(D331=0,"n.a.",E331/D331)</x:f>
        <x:v>0.08137789904502046</x:v>
      </x:c>
    </x:row>
    <x:row r="332" ht="22" customHeight="1">
      <x:c r="A332" s="6" t="str">
        <x:f>'Source'!$C$339</x:f>
        <x:v>Sioux City, IA-NE-SD Metro Area</x:v>
      </x:c>
      <x:c r="B332" s="6" t="str">
        <x:f>'Source'!$B$339</x:f>
        <x:v>43580</x:v>
      </x:c>
      <x:c r="C332" s="7" t="n">
        <x:f>'Source'!$D$339</x:f>
        <x:v>2024</x:v>
      </x:c>
      <x:c r="D332" s="8" t="n">
        <x:f>'Source'!$N$339</x:f>
        <x:v>16558</x:v>
      </x:c>
      <x:c r="E332" s="8" t="n">
        <x:f>'Source'!$AH$339</x:f>
        <x:v>1162</x:v>
      </x:c>
      <x:c r="F332" s="8" t="n">
        <x:f>D332-E332</x:f>
        <x:v>15396</x:v>
      </x:c>
      <x:c r="G332" s="8" t="n">
        <x:f>SUM('Source'!$Z$339,'Source'!$AB$339,'Source'!$AD$339,'Source'!$AF$339)</x:f>
        <x:v>6275</x:v>
      </x:c>
      <x:c r="H332" s="8" t="n">
        <x:f>'Source'!$AF$339</x:f>
        <x:v>4239</x:v>
      </x:c>
      <x:c r="I332" s="9" t="n">
        <x:f>IF(F332=0,"n.a.",G332/F332)</x:f>
        <x:v>0.4075733956871915</x:v>
      </x:c>
      <x:c r="J332" s="9" t="n">
        <x:f>IF(F332=0,"n.a.",H332/F332)</x:f>
        <x:v>0.27533125487139515</x:v>
      </x:c>
      <x:c r="K332" s="9" t="n">
        <x:f>IF(D332=0,"n.a.",E332/D332)</x:f>
        <x:v>0.07017755767604783</x:v>
      </x:c>
    </x:row>
    <x:row r="333" ht="22" customHeight="1">
      <x:c r="A333" s="6" t="str">
        <x:f>'Source'!$C$340</x:f>
        <x:v>Sioux Falls, SD-MN Metro Area</x:v>
      </x:c>
      <x:c r="B333" s="6" t="str">
        <x:f>'Source'!$B$340</x:f>
        <x:v>43620</x:v>
      </x:c>
      <x:c r="C333" s="7" t="n">
        <x:f>'Source'!$D$340</x:f>
        <x:v>2024</x:v>
      </x:c>
      <x:c r="D333" s="8" t="n">
        <x:f>'Source'!$N$340</x:f>
        <x:v>45301</x:v>
      </x:c>
      <x:c r="E333" s="8" t="n">
        <x:f>'Source'!$AH$340</x:f>
        <x:v>1652</x:v>
      </x:c>
      <x:c r="F333" s="8" t="n">
        <x:f>D333-E333</x:f>
        <x:v>43649</x:v>
      </x:c>
      <x:c r="G333" s="8" t="n">
        <x:f>SUM('Source'!$Z$340,'Source'!$AB$340,'Source'!$AD$340,'Source'!$AF$340)</x:f>
        <x:v>18598</x:v>
      </x:c>
      <x:c r="H333" s="8" t="n">
        <x:f>'Source'!$AF$340</x:f>
        <x:v>6769</x:v>
      </x:c>
      <x:c r="I333" s="9" t="n">
        <x:f>IF(F333=0,"n.a.",G333/F333)</x:f>
        <x:v>0.4260807807739009</x:v>
      </x:c>
      <x:c r="J333" s="9" t="n">
        <x:f>IF(F333=0,"n.a.",H333/F333)</x:f>
        <x:v>0.15507800865999222</x:v>
      </x:c>
      <x:c r="K333" s="9" t="n">
        <x:f>IF(D333=0,"n.a.",E333/D333)</x:f>
        <x:v>0.03646718615483102</x:v>
      </x:c>
    </x:row>
    <x:row r="334" ht="22" customHeight="1">
      <x:c r="A334" s="6" t="str">
        <x:f>'Source'!$C$341</x:f>
        <x:v>Slidell-Mandeville-Covington, LA Metro Area</x:v>
      </x:c>
      <x:c r="B334" s="6" t="str">
        <x:f>'Source'!$B$341</x:f>
        <x:v>43640</x:v>
      </x:c>
      <x:c r="C334" s="7" t="n">
        <x:f>'Source'!$D$341</x:f>
        <x:v>2024</x:v>
      </x:c>
      <x:c r="D334" s="8" t="n">
        <x:f>'Source'!$N$341</x:f>
        <x:v>22924</x:v>
      </x:c>
      <x:c r="E334" s="8" t="n">
        <x:f>'Source'!$AH$341</x:f>
        <x:v>1377</x:v>
      </x:c>
      <x:c r="F334" s="8" t="n">
        <x:f>D334-E334</x:f>
        <x:v>21547</x:v>
      </x:c>
      <x:c r="G334" s="8" t="n">
        <x:f>SUM('Source'!$Z$341,'Source'!$AB$341,'Source'!$AD$341,'Source'!$AF$341)</x:f>
        <x:v>11992</x:v>
      </x:c>
      <x:c r="H334" s="8" t="n">
        <x:f>'Source'!$AF$341</x:f>
        <x:v>5188</x:v>
      </x:c>
      <x:c r="I334" s="9" t="n">
        <x:f>IF(F334=0,"n.a.",G334/F334)</x:f>
        <x:v>0.5565507959344689</x:v>
      </x:c>
      <x:c r="J334" s="9" t="n">
        <x:f>IF(F334=0,"n.a.",H334/F334)</x:f>
        <x:v>0.2407759780943983</x:v>
      </x:c>
      <x:c r="K334" s="9" t="n">
        <x:f>IF(D334=0,"n.a.",E334/D334)</x:f>
        <x:v>0.06006805095096842</x:v>
      </x:c>
    </x:row>
    <x:row r="335" ht="22" customHeight="1">
      <x:c r="A335" s="6" t="str">
        <x:f>'Source'!$C$342</x:f>
        <x:v>South Bend-Mishawaka, IN-MI Metro Area</x:v>
      </x:c>
      <x:c r="B335" s="6" t="str">
        <x:f>'Source'!$B$342</x:f>
        <x:v>43780</x:v>
      </x:c>
      <x:c r="C335" s="7" t="n">
        <x:f>'Source'!$D$342</x:f>
        <x:v>2024</x:v>
      </x:c>
      <x:c r="D335" s="8" t="n">
        <x:f>'Source'!$N$342</x:f>
        <x:v>36095</x:v>
      </x:c>
      <x:c r="E335" s="8" t="n">
        <x:f>'Source'!$AH$342</x:f>
        <x:v>2602</x:v>
      </x:c>
      <x:c r="F335" s="8" t="n">
        <x:f>D335-E335</x:f>
        <x:v>33493</x:v>
      </x:c>
      <x:c r="G335" s="8" t="n">
        <x:f>SUM('Source'!$Z$342,'Source'!$AB$342,'Source'!$AD$342,'Source'!$AF$342)</x:f>
        <x:v>17513</x:v>
      </x:c>
      <x:c r="H335" s="8" t="n">
        <x:f>'Source'!$AF$342</x:f>
        <x:v>8577</x:v>
      </x:c>
      <x:c r="I335" s="9" t="n">
        <x:f>IF(F335=0,"n.a.",G335/F335)</x:f>
        <x:v>0.5228853790344251</x:v>
      </x:c>
      <x:c r="J335" s="9" t="n">
        <x:f>IF(F335=0,"n.a.",H335/F335)</x:f>
        <x:v>0.2560833607022363</x:v>
      </x:c>
      <x:c r="K335" s="9" t="n">
        <x:f>IF(D335=0,"n.a.",E335/D335)</x:f>
        <x:v>0.07208754675162765</x:v>
      </x:c>
    </x:row>
    <x:row r="336" ht="22" customHeight="1">
      <x:c r="A336" s="6" t="str">
        <x:f>'Source'!$C$343</x:f>
        <x:v>Spartanburg, SC Metro Area</x:v>
      </x:c>
      <x:c r="B336" s="6" t="str">
        <x:f>'Source'!$B$343</x:f>
        <x:v>43900</x:v>
      </x:c>
      <x:c r="C336" s="7" t="n">
        <x:f>'Source'!$D$343</x:f>
        <x:v>2024</x:v>
      </x:c>
      <x:c r="D336" s="8" t="n">
        <x:f>'Source'!$N$343</x:f>
        <x:v>40322</x:v>
      </x:c>
      <x:c r="E336" s="8" t="n">
        <x:f>'Source'!$AH$343</x:f>
        <x:v>3390</x:v>
      </x:c>
      <x:c r="F336" s="8" t="n">
        <x:f>D336-E336</x:f>
        <x:v>36932</x:v>
      </x:c>
      <x:c r="G336" s="8" t="n">
        <x:f>SUM('Source'!$Z$343,'Source'!$AB$343,'Source'!$AD$343,'Source'!$AF$343)</x:f>
        <x:v>18549</x:v>
      </x:c>
      <x:c r="H336" s="8" t="n">
        <x:f>'Source'!$AF$343</x:f>
        <x:v>10382</x:v>
      </x:c>
      <x:c r="I336" s="9" t="n">
        <x:f>IF(F336=0,"n.a.",G336/F336)</x:f>
        <x:v>0.5022473735513917</x:v>
      </x:c>
      <x:c r="J336" s="9" t="n">
        <x:f>IF(F336=0,"n.a.",H336/F336)</x:f>
        <x:v>0.281111231452399</x:v>
      </x:c>
      <x:c r="K336" s="9" t="n">
        <x:f>IF(D336=0,"n.a.",E336/D336)</x:f>
        <x:v>0.08407321065423343</x:v>
      </x:c>
    </x:row>
    <x:row r="337" ht="22" customHeight="1">
      <x:c r="A337" s="6" t="str">
        <x:f>'Source'!$C$344</x:f>
        <x:v>Spokane-Spokane Valley, WA Metro Area</x:v>
      </x:c>
      <x:c r="B337" s="6" t="str">
        <x:f>'Source'!$B$344</x:f>
        <x:v>44060</x:v>
      </x:c>
      <x:c r="C337" s="7" t="n">
        <x:f>'Source'!$D$344</x:f>
        <x:v>2024</x:v>
      </x:c>
      <x:c r="D337" s="8" t="n">
        <x:f>'Source'!$N$344</x:f>
        <x:v>81500</x:v>
      </x:c>
      <x:c r="E337" s="8" t="n">
        <x:f>'Source'!$AH$344</x:f>
        <x:v>4714</x:v>
      </x:c>
      <x:c r="F337" s="8" t="n">
        <x:f>D337-E337</x:f>
        <x:v>76786</x:v>
      </x:c>
      <x:c r="G337" s="8" t="n">
        <x:f>SUM('Source'!$Z$344,'Source'!$AB$344,'Source'!$AD$344,'Source'!$AF$344)</x:f>
        <x:v>36797</x:v>
      </x:c>
      <x:c r="H337" s="8" t="n">
        <x:f>'Source'!$AF$344</x:f>
        <x:v>17824</x:v>
      </x:c>
      <x:c r="I337" s="9" t="n">
        <x:f>IF(F337=0,"n.a.",G337/F337)</x:f>
        <x:v>0.47921496106061</x:v>
      </x:c>
      <x:c r="J337" s="9" t="n">
        <x:f>IF(F337=0,"n.a.",H337/F337)</x:f>
        <x:v>0.23212564790456594</x:v>
      </x:c>
      <x:c r="K337" s="9" t="n">
        <x:f>IF(D337=0,"n.a.",E337/D337)</x:f>
        <x:v>0.05784049079754601</x:v>
      </x:c>
    </x:row>
    <x:row r="338" ht="22" customHeight="1">
      <x:c r="A338" s="6" t="str">
        <x:f>'Source'!$C$345</x:f>
        <x:v>Springfield, IL Metro Area</x:v>
      </x:c>
      <x:c r="B338" s="6" t="str">
        <x:f>'Source'!$B$345</x:f>
        <x:v>44100</x:v>
      </x:c>
      <x:c r="C338" s="7" t="n">
        <x:f>'Source'!$D$345</x:f>
        <x:v>2024</x:v>
      </x:c>
      <x:c r="D338" s="8" t="n">
        <x:f>'Source'!$N$345</x:f>
        <x:v>26296</x:v>
      </x:c>
      <x:c r="E338" s="8" t="n">
        <x:f>'Source'!$AH$345</x:f>
        <x:v>2905</x:v>
      </x:c>
      <x:c r="F338" s="8" t="n">
        <x:f>D338-E338</x:f>
        <x:v>23391</x:v>
      </x:c>
      <x:c r="G338" s="8" t="n">
        <x:f>SUM('Source'!$Z$345,'Source'!$AB$345,'Source'!$AD$345,'Source'!$AF$345)</x:f>
        <x:v>10448</x:v>
      </x:c>
      <x:c r="H338" s="8" t="n">
        <x:f>'Source'!$AF$345</x:f>
        <x:v>6484</x:v>
      </x:c>
      <x:c r="I338" s="9" t="n">
        <x:f>IF(F338=0,"n.a.",G338/F338)</x:f>
        <x:v>0.44666752169637897</x:v>
      </x:c>
      <x:c r="J338" s="9" t="n">
        <x:f>IF(F338=0,"n.a.",H338/F338)</x:f>
        <x:v>0.2772006327219871</x:v>
      </x:c>
      <x:c r="K338" s="9" t="n">
        <x:f>IF(D338=0,"n.a.",E338/D338)</x:f>
        <x:v>0.11047307575296623</x:v>
      </x:c>
    </x:row>
    <x:row r="339" ht="22" customHeight="1">
      <x:c r="A339" s="6" t="str">
        <x:f>'Source'!$C$346</x:f>
        <x:v>Springfield, MA Metro Area</x:v>
      </x:c>
      <x:c r="B339" s="6" t="str">
        <x:f>'Source'!$B$346</x:f>
        <x:v>44140</x:v>
      </x:c>
      <x:c r="C339" s="7" t="n">
        <x:f>'Source'!$D$346</x:f>
        <x:v>2024</x:v>
      </x:c>
      <x:c r="D339" s="8" t="n">
        <x:f>'Source'!$N$346</x:f>
        <x:v>67219</x:v>
      </x:c>
      <x:c r="E339" s="8" t="n">
        <x:f>'Source'!$AH$346</x:f>
        <x:v>5825</x:v>
      </x:c>
      <x:c r="F339" s="8" t="n">
        <x:f>D339-E339</x:f>
        <x:v>61394</x:v>
      </x:c>
      <x:c r="G339" s="8" t="n">
        <x:f>SUM('Source'!$Z$346,'Source'!$AB$346,'Source'!$AD$346,'Source'!$AF$346)</x:f>
        <x:v>33885</x:v>
      </x:c>
      <x:c r="H339" s="8" t="n">
        <x:f>'Source'!$AF$346</x:f>
        <x:v>18389</x:v>
      </x:c>
      <x:c r="I339" s="9" t="n">
        <x:f>IF(F339=0,"n.a.",G339/F339)</x:f>
        <x:v>0.5519268983939799</x:v>
      </x:c>
      <x:c r="J339" s="9" t="n">
        <x:f>IF(F339=0,"n.a.",H339/F339)</x:f>
        <x:v>0.29952438349024335</x:v>
      </x:c>
      <x:c r="K339" s="9" t="n">
        <x:f>IF(D339=0,"n.a.",E339/D339)</x:f>
        <x:v>0.08665704637081778</x:v>
      </x:c>
    </x:row>
    <x:row r="340" ht="22" customHeight="1">
      <x:c r="A340" s="6" t="str">
        <x:f>'Source'!$C$347</x:f>
        <x:v>Springfield, MO Metro Area</x:v>
      </x:c>
      <x:c r="B340" s="6" t="str">
        <x:f>'Source'!$B$347</x:f>
        <x:v>44180</x:v>
      </x:c>
      <x:c r="C340" s="7" t="n">
        <x:f>'Source'!$D$347</x:f>
        <x:v>2024</x:v>
      </x:c>
      <x:c r="D340" s="8" t="n">
        <x:f>'Source'!$N$347</x:f>
        <x:v>71105</x:v>
      </x:c>
      <x:c r="E340" s="8" t="n">
        <x:f>'Source'!$AH$347</x:f>
        <x:v>4141</x:v>
      </x:c>
      <x:c r="F340" s="8" t="n">
        <x:f>D340-E340</x:f>
        <x:v>66964</x:v>
      </x:c>
      <x:c r="G340" s="8" t="n">
        <x:f>SUM('Source'!$Z$347,'Source'!$AB$347,'Source'!$AD$347,'Source'!$AF$347)</x:f>
        <x:v>25326</x:v>
      </x:c>
      <x:c r="H340" s="8" t="n">
        <x:f>'Source'!$AF$347</x:f>
        <x:v>10510</x:v>
      </x:c>
      <x:c r="I340" s="9" t="n">
        <x:f>IF(F340=0,"n.a.",G340/F340)</x:f>
        <x:v>0.37820321366704496</x:v>
      </x:c>
      <x:c r="J340" s="9" t="n">
        <x:f>IF(F340=0,"n.a.",H340/F340)</x:f>
        <x:v>0.1569500029866794</x:v>
      </x:c>
      <x:c r="K340" s="9" t="n">
        <x:f>IF(D340=0,"n.a.",E340/D340)</x:f>
        <x:v>0.058237817312425284</x:v>
      </x:c>
    </x:row>
    <x:row r="341" ht="22" customHeight="1">
      <x:c r="A341" s="6" t="str">
        <x:f>'Source'!$C$348</x:f>
        <x:v>Springfield, OH Metro Area</x:v>
      </x:c>
      <x:c r="B341" s="6" t="str">
        <x:f>'Source'!$B$348</x:f>
        <x:v>44220</x:v>
      </x:c>
      <x:c r="C341" s="7" t="n">
        <x:f>'Source'!$D$348</x:f>
        <x:v>2024</x:v>
      </x:c>
      <x:c r="D341" s="8" t="n">
        <x:f>'Source'!$N$348</x:f>
        <x:v>17123</x:v>
      </x:c>
      <x:c r="E341" s="8" t="n">
        <x:f>'Source'!$AH$348</x:f>
        <x:v>1261</x:v>
      </x:c>
      <x:c r="F341" s="8" t="n">
        <x:f>D341-E341</x:f>
        <x:v>15862</x:v>
      </x:c>
      <x:c r="G341" s="8" t="n">
        <x:f>SUM('Source'!$Z$348,'Source'!$AB$348,'Source'!$AD$348,'Source'!$AF$348)</x:f>
        <x:v>7356</x:v>
      </x:c>
      <x:c r="H341" s="8" t="n">
        <x:f>'Source'!$AF$348</x:f>
        <x:v>4021</x:v>
      </x:c>
      <x:c r="I341" s="9" t="n">
        <x:f>IF(F341=0,"n.a.",G341/F341)</x:f>
        <x:v>0.4637498423906191</x:v>
      </x:c>
      <x:c r="J341" s="9" t="n">
        <x:f>IF(F341=0,"n.a.",H341/F341)</x:f>
        <x:v>0.2534989282562098</x:v>
      </x:c>
      <x:c r="K341" s="9" t="n">
        <x:f>IF(D341=0,"n.a.",E341/D341)</x:f>
        <x:v>0.07364363721310518</x:v>
      </x:c>
    </x:row>
    <x:row r="342" ht="22" customHeight="1">
      <x:c r="A342" s="6" t="str">
        <x:f>'Source'!$C$349</x:f>
        <x:v>St. Cloud, MN Metro Area</x:v>
      </x:c>
      <x:c r="B342" s="6" t="str">
        <x:f>'Source'!$B$349</x:f>
        <x:v>41060</x:v>
      </x:c>
      <x:c r="C342" s="7" t="n">
        <x:f>'Source'!$D$349</x:f>
        <x:v>2024</x:v>
      </x:c>
      <x:c r="D342" s="8" t="n">
        <x:f>'Source'!$N$349</x:f>
        <x:v>25834</x:v>
      </x:c>
      <x:c r="E342" s="8" t="n">
        <x:f>'Source'!$AH$349</x:f>
        <x:v>1114</x:v>
      </x:c>
      <x:c r="F342" s="8" t="n">
        <x:f>D342-E342</x:f>
        <x:v>24720</x:v>
      </x:c>
      <x:c r="G342" s="8" t="n">
        <x:f>SUM('Source'!$Z$349,'Source'!$AB$349,'Source'!$AD$349,'Source'!$AF$349)</x:f>
        <x:v>12158</x:v>
      </x:c>
      <x:c r="H342" s="8" t="n">
        <x:f>'Source'!$AF$349</x:f>
        <x:v>7521</x:v>
      </x:c>
      <x:c r="I342" s="9" t="n">
        <x:f>IF(F342=0,"n.a.",G342/F342)</x:f>
        <x:v>0.4918284789644013</x:v>
      </x:c>
      <x:c r="J342" s="9" t="n">
        <x:f>IF(F342=0,"n.a.",H342/F342)</x:f>
        <x:v>0.304247572815534</x:v>
      </x:c>
      <x:c r="K342" s="9" t="n">
        <x:f>IF(D342=0,"n.a.",E342/D342)</x:f>
        <x:v>0.04312146783308818</x:v>
      </x:c>
    </x:row>
    <x:row r="343" ht="22" customHeight="1">
      <x:c r="A343" s="6" t="str">
        <x:f>'Source'!$C$350</x:f>
        <x:v>St. George, UT Metro Area</x:v>
      </x:c>
      <x:c r="B343" s="6" t="str">
        <x:f>'Source'!$B$350</x:f>
        <x:v>41100</x:v>
      </x:c>
      <x:c r="C343" s="7" t="n">
        <x:f>'Source'!$D$350</x:f>
        <x:v>2024</x:v>
      </x:c>
      <x:c r="D343" s="8" t="n">
        <x:f>'Source'!$N$350</x:f>
        <x:v>21822</x:v>
      </x:c>
      <x:c r="E343" s="8" t="n">
        <x:f>'Source'!$AH$350</x:f>
        <x:v>1310</x:v>
      </x:c>
      <x:c r="F343" s="8" t="n">
        <x:f>D343-E343</x:f>
        <x:v>20512</x:v>
      </x:c>
      <x:c r="G343" s="8" t="n">
        <x:f>SUM('Source'!$Z$350,'Source'!$AB$350,'Source'!$AD$350,'Source'!$AF$350)</x:f>
        <x:v>10501</x:v>
      </x:c>
      <x:c r="H343" s="8" t="n">
        <x:f>'Source'!$AF$350</x:f>
        <x:v>4634</x:v>
      </x:c>
      <x:c r="I343" s="9" t="n">
        <x:f>IF(F343=0,"n.a.",G343/F343)</x:f>
        <x:v>0.5119442277691107</x:v>
      </x:c>
      <x:c r="J343" s="9" t="n">
        <x:f>IF(F343=0,"n.a.",H343/F343)</x:f>
        <x:v>0.22591653666146647</x:v>
      </x:c>
      <x:c r="K343" s="9" t="n">
        <x:f>IF(D343=0,"n.a.",E343/D343)</x:f>
        <x:v>0.06003116121345431</x:v>
      </x:c>
    </x:row>
    <x:row r="344" ht="22" customHeight="1">
      <x:c r="A344" s="6" t="str">
        <x:f>'Source'!$C$351</x:f>
        <x:v>St. Joseph, MO-KS Metro Area</x:v>
      </x:c>
      <x:c r="B344" s="6" t="str">
        <x:f>'Source'!$B$351</x:f>
        <x:v>41140</x:v>
      </x:c>
      <x:c r="C344" s="7" t="n">
        <x:f>'Source'!$D$351</x:f>
        <x:v>2024</x:v>
      </x:c>
      <x:c r="D344" s="8" t="n">
        <x:f>'Source'!$N$351</x:f>
        <x:v>14370</x:v>
      </x:c>
      <x:c r="E344" s="8" t="n">
        <x:f>'Source'!$AH$351</x:f>
        <x:v>1370</x:v>
      </x:c>
      <x:c r="F344" s="8" t="n">
        <x:f>D344-E344</x:f>
        <x:v>13000</x:v>
      </x:c>
      <x:c r="G344" s="8" t="n">
        <x:f>SUM('Source'!$Z$351,'Source'!$AB$351,'Source'!$AD$351,'Source'!$AF$351)</x:f>
        <x:v>5951</x:v>
      </x:c>
      <x:c r="H344" s="8" t="n">
        <x:f>'Source'!$AF$351</x:f>
        <x:v>2359</x:v>
      </x:c>
      <x:c r="I344" s="9" t="n">
        <x:f>IF(F344=0,"n.a.",G344/F344)</x:f>
        <x:v>0.45776923076923076</x:v>
      </x:c>
      <x:c r="J344" s="9" t="n">
        <x:f>IF(F344=0,"n.a.",H344/F344)</x:f>
        <x:v>0.18146153846153845</x:v>
      </x:c>
      <x:c r="K344" s="9" t="n">
        <x:f>IF(D344=0,"n.a.",E344/D344)</x:f>
        <x:v>0.0953375086986778</x:v>
      </x:c>
    </x:row>
    <x:row r="345" ht="22" customHeight="1">
      <x:c r="A345" s="6" t="str">
        <x:f>'Source'!$C$352</x:f>
        <x:v>St. Louis, MO-IL Metro Area</x:v>
      </x:c>
      <x:c r="B345" s="6" t="str">
        <x:f>'Source'!$B$352</x:f>
        <x:v>41180</x:v>
      </x:c>
      <x:c r="C345" s="7" t="n">
        <x:f>'Source'!$D$352</x:f>
        <x:v>2024</x:v>
      </x:c>
      <x:c r="D345" s="8" t="n">
        <x:f>'Source'!$N$352</x:f>
        <x:v>343934</x:v>
      </x:c>
      <x:c r="E345" s="8" t="n">
        <x:f>'Source'!$AH$352</x:f>
        <x:v>21891</x:v>
      </x:c>
      <x:c r="F345" s="8" t="n">
        <x:f>D345-E345</x:f>
        <x:v>322043</x:v>
      </x:c>
      <x:c r="G345" s="8" t="n">
        <x:f>SUM('Source'!$Z$352,'Source'!$AB$352,'Source'!$AD$352,'Source'!$AF$352)</x:f>
        <x:v>147543</x:v>
      </x:c>
      <x:c r="H345" s="8" t="n">
        <x:f>'Source'!$AF$352</x:f>
        <x:v>75763</x:v>
      </x:c>
      <x:c r="I345" s="9" t="n">
        <x:f>IF(F345=0,"n.a.",G345/F345)</x:f>
        <x:v>0.4581468934272752</x:v>
      </x:c>
      <x:c r="J345" s="9" t="n">
        <x:f>IF(F345=0,"n.a.",H345/F345)</x:f>
        <x:v>0.23525740351443752</x:v>
      </x:c>
      <x:c r="K345" s="9" t="n">
        <x:f>IF(D345=0,"n.a.",E345/D345)</x:f>
        <x:v>0.06364883960294708</x:v>
      </x:c>
    </x:row>
    <x:row r="346" ht="22" customHeight="1">
      <x:c r="A346" s="6" t="str">
        <x:f>'Source'!$C$353</x:f>
        <x:v>State College, PA Metro Area</x:v>
      </x:c>
      <x:c r="B346" s="6" t="str">
        <x:f>'Source'!$B$353</x:f>
        <x:v>44300</x:v>
      </x:c>
      <x:c r="C346" s="7" t="n">
        <x:f>'Source'!$D$353</x:f>
        <x:v>2024</x:v>
      </x:c>
      <x:c r="D346" s="8" t="n">
        <x:f>'Source'!$N$353</x:f>
        <x:v>21181</x:v>
      </x:c>
      <x:c r="E346" s="8" t="n">
        <x:f>'Source'!$AH$353</x:f>
        <x:v>2469</x:v>
      </x:c>
      <x:c r="F346" s="8" t="n">
        <x:f>D346-E346</x:f>
        <x:v>18712</x:v>
      </x:c>
      <x:c r="G346" s="8" t="n">
        <x:f>SUM('Source'!$Z$353,'Source'!$AB$353,'Source'!$AD$353,'Source'!$AF$353)</x:f>
        <x:v>10763</x:v>
      </x:c>
      <x:c r="H346" s="8" t="n">
        <x:f>'Source'!$AF$353</x:f>
        <x:v>5513</x:v>
      </x:c>
      <x:c r="I346" s="9" t="n">
        <x:f>IF(F346=0,"n.a.",G346/F346)</x:f>
        <x:v>0.575192389910218</x:v>
      </x:c>
      <x:c r="J346" s="9" t="n">
        <x:f>IF(F346=0,"n.a.",H346/F346)</x:f>
        <x:v>0.2946237708422403</x:v>
      </x:c>
      <x:c r="K346" s="9" t="n">
        <x:f>IF(D346=0,"n.a.",E346/D346)</x:f>
        <x:v>0.11656673433737784</x:v>
      </x:c>
    </x:row>
    <x:row r="347" ht="22" customHeight="1">
      <x:c r="A347" s="6" t="str">
        <x:f>'Source'!$C$354</x:f>
        <x:v>Staunton-Stuarts Draft, VA Metro Area</x:v>
      </x:c>
      <x:c r="B347" s="6" t="str">
        <x:f>'Source'!$B$354</x:f>
        <x:v>44420</x:v>
      </x:c>
      <x:c r="C347" s="7" t="n">
        <x:f>'Source'!$D$354</x:f>
        <x:v>2024</x:v>
      </x:c>
      <x:c r="D347" s="8" t="n">
        <x:f>'Source'!$N$354</x:f>
        <x:v>13697</x:v>
      </x:c>
      <x:c r="E347" s="8" t="n">
        <x:f>'Source'!$AH$354</x:f>
        <x:v>454</x:v>
      </x:c>
      <x:c r="F347" s="8" t="n">
        <x:f>D347-E347</x:f>
        <x:v>13243</x:v>
      </x:c>
      <x:c r="G347" s="8" t="n">
        <x:f>SUM('Source'!$Z$354,'Source'!$AB$354,'Source'!$AD$354,'Source'!$AF$354)</x:f>
        <x:v>6066</x:v>
      </x:c>
      <x:c r="H347" s="8" t="n">
        <x:f>'Source'!$AF$354</x:f>
        <x:v>2926</x:v>
      </x:c>
      <x:c r="I347" s="9" t="n">
        <x:f>IF(F347=0,"n.a.",G347/F347)</x:f>
        <x:v>0.45805331118326664</x:v>
      </x:c>
      <x:c r="J347" s="9" t="n">
        <x:f>IF(F347=0,"n.a.",H347/F347)</x:f>
        <x:v>0.22094691535150646</x:v>
      </x:c>
      <x:c r="K347" s="9" t="n">
        <x:f>IF(D347=0,"n.a.",E347/D347)</x:f>
        <x:v>0.03314594436737972</x:v>
      </x:c>
    </x:row>
    <x:row r="348" ht="22" customHeight="1">
      <x:c r="A348" s="6" t="str">
        <x:f>'Source'!$C$355</x:f>
        <x:v>Stockton-Lodi, CA Metro Area</x:v>
      </x:c>
      <x:c r="B348" s="6" t="str">
        <x:f>'Source'!$B$355</x:f>
        <x:v>44700</x:v>
      </x:c>
      <x:c r="C348" s="7" t="n">
        <x:f>'Source'!$D$355</x:f>
        <x:v>2024</x:v>
      </x:c>
      <x:c r="D348" s="8" t="n">
        <x:f>'Source'!$N$355</x:f>
        <x:v>95988</x:v>
      </x:c>
      <x:c r="E348" s="8" t="n">
        <x:f>'Source'!$AH$355</x:f>
        <x:v>6159</x:v>
      </x:c>
      <x:c r="F348" s="8" t="n">
        <x:f>D348-E348</x:f>
        <x:v>89829</x:v>
      </x:c>
      <x:c r="G348" s="8" t="n">
        <x:f>SUM('Source'!$Z$355,'Source'!$AB$355,'Source'!$AD$355,'Source'!$AF$355)</x:f>
        <x:v>48292</x:v>
      </x:c>
      <x:c r="H348" s="8" t="n">
        <x:f>'Source'!$AF$355</x:f>
        <x:v>24317</x:v>
      </x:c>
      <x:c r="I348" s="9" t="n">
        <x:f>IF(F348=0,"n.a.",G348/F348)</x:f>
        <x:v>0.5375992162887263</x:v>
      </x:c>
      <x:c r="J348" s="9" t="n">
        <x:f>IF(F348=0,"n.a.",H348/F348)</x:f>
        <x:v>0.2707032250164201</x:v>
      </x:c>
      <x:c r="K348" s="9" t="n">
        <x:f>IF(D348=0,"n.a.",E348/D348)</x:f>
        <x:v>0.06416427053381672</x:v>
      </x:c>
    </x:row>
    <x:row r="349" ht="22" customHeight="1">
      <x:c r="A349" s="6" t="str">
        <x:f>'Source'!$C$356</x:f>
        <x:v>Sumter, SC Metro Area</x:v>
      </x:c>
      <x:c r="B349" s="6" t="str">
        <x:f>'Source'!$B$356</x:f>
        <x:v>44940</x:v>
      </x:c>
      <x:c r="C349" s="7" t="n">
        <x:f>'Source'!$D$356</x:f>
        <x:v>2024</x:v>
      </x:c>
      <x:c r="D349" s="8" t="n">
        <x:f>'Source'!$N$356</x:f>
        <x:v>12196</x:v>
      </x:c>
      <x:c r="E349" s="8" t="n">
        <x:f>'Source'!$AH$356</x:f>
        <x:v>1527</x:v>
      </x:c>
      <x:c r="F349" s="8" t="n">
        <x:f>D349-E349</x:f>
        <x:v>10669</x:v>
      </x:c>
      <x:c r="G349" s="8" t="n">
        <x:f>SUM('Source'!$Z$356,'Source'!$AB$356,'Source'!$AD$356,'Source'!$AF$356)</x:f>
        <x:v>5233</x:v>
      </x:c>
      <x:c r="H349" s="8" t="n">
        <x:f>'Source'!$AF$356</x:f>
        <x:v>1916</x:v>
      </x:c>
      <x:c r="I349" s="9" t="n">
        <x:f>IF(F349=0,"n.a.",G349/F349)</x:f>
        <x:v>0.4904864560877308</x:v>
      </x:c>
      <x:c r="J349" s="9" t="n">
        <x:f>IF(F349=0,"n.a.",H349/F349)</x:f>
        <x:v>0.1795857156247071</x:v>
      </x:c>
      <x:c r="K349" s="9" t="n">
        <x:f>IF(D349=0,"n.a.",E349/D349)</x:f>
        <x:v>0.12520498524106263</x:v>
      </x:c>
    </x:row>
    <x:row r="350" ht="22" customHeight="1">
      <x:c r="A350" s="6" t="str">
        <x:f>'Source'!$C$357</x:f>
        <x:v>Syracuse, NY Metro Area</x:v>
      </x:c>
      <x:c r="B350" s="6" t="str">
        <x:f>'Source'!$B$357</x:f>
        <x:v>45060</x:v>
      </x:c>
      <x:c r="C350" s="7" t="n">
        <x:f>'Source'!$D$357</x:f>
        <x:v>2024</x:v>
      </x:c>
      <x:c r="D350" s="8" t="n">
        <x:f>'Source'!$N$357</x:f>
        <x:v>86094</x:v>
      </x:c>
      <x:c r="E350" s="8" t="n">
        <x:f>'Source'!$AH$357</x:f>
        <x:v>7240</x:v>
      </x:c>
      <x:c r="F350" s="8" t="n">
        <x:f>D350-E350</x:f>
        <x:v>78854</x:v>
      </x:c>
      <x:c r="G350" s="8" t="n">
        <x:f>SUM('Source'!$Z$357,'Source'!$AB$357,'Source'!$AD$357,'Source'!$AF$357)</x:f>
        <x:v>39309</x:v>
      </x:c>
      <x:c r="H350" s="8" t="n">
        <x:f>'Source'!$AF$357</x:f>
        <x:v>21923</x:v>
      </x:c>
      <x:c r="I350" s="9" t="n">
        <x:f>IF(F350=0,"n.a.",G350/F350)</x:f>
        <x:v>0.49850356354782255</x:v>
      </x:c>
      <x:c r="J350" s="9" t="n">
        <x:f>IF(F350=0,"n.a.",H350/F350)</x:f>
        <x:v>0.27802013848378015</x:v>
      </x:c>
      <x:c r="K350" s="9" t="n">
        <x:f>IF(D350=0,"n.a.",E350/D350)</x:f>
        <x:v>0.08409412967221874</x:v>
      </x:c>
    </x:row>
    <x:row r="351" ht="22" customHeight="1">
      <x:c r="A351" s="6" t="str">
        <x:f>'Source'!$C$358</x:f>
        <x:v>Tallahassee, FL Metro Area</x:v>
      </x:c>
      <x:c r="B351" s="6" t="str">
        <x:f>'Source'!$B$358</x:f>
        <x:v>45220</x:v>
      </x:c>
      <x:c r="C351" s="7" t="n">
        <x:f>'Source'!$D$358</x:f>
        <x:v>2024</x:v>
      </x:c>
      <x:c r="D351" s="8" t="n">
        <x:f>'Source'!$N$358</x:f>
        <x:v>68237</x:v>
      </x:c>
      <x:c r="E351" s="8" t="n">
        <x:f>'Source'!$AH$358</x:f>
        <x:v>7226</x:v>
      </x:c>
      <x:c r="F351" s="8" t="n">
        <x:f>D351-E351</x:f>
        <x:v>61011</x:v>
      </x:c>
      <x:c r="G351" s="8" t="n">
        <x:f>SUM('Source'!$Z$358,'Source'!$AB$358,'Source'!$AD$358,'Source'!$AF$358)</x:f>
        <x:v>37371</x:v>
      </x:c>
      <x:c r="H351" s="8" t="n">
        <x:f>'Source'!$AF$358</x:f>
        <x:v>22619</x:v>
      </x:c>
      <x:c r="I351" s="9" t="n">
        <x:f>IF(F351=0,"n.a.",G351/F351)</x:f>
        <x:v>0.6125288882332695</x:v>
      </x:c>
      <x:c r="J351" s="9" t="n">
        <x:f>IF(F351=0,"n.a.",H351/F351)</x:f>
        <x:v>0.3707364245791743</x:v>
      </x:c>
      <x:c r="K351" s="9" t="n">
        <x:f>IF(D351=0,"n.a.",E351/D351)</x:f>
        <x:v>0.10589562847135718</x:v>
      </x:c>
    </x:row>
    <x:row r="352" ht="22" customHeight="1">
      <x:c r="A352" s="6" t="str">
        <x:f>'Source'!$C$359</x:f>
        <x:v>Tampa-St. Petersburg-Clearwater, FL Metro Area</x:v>
      </x:c>
      <x:c r="B352" s="6" t="str">
        <x:f>'Source'!$B$359</x:f>
        <x:v>45300</x:v>
      </x:c>
      <x:c r="C352" s="7" t="n">
        <x:f>'Source'!$D$359</x:f>
        <x:v>2024</x:v>
      </x:c>
      <x:c r="D352" s="8" t="n">
        <x:f>'Source'!$N$359</x:f>
        <x:v>440810</x:v>
      </x:c>
      <x:c r="E352" s="8" t="n">
        <x:f>'Source'!$AH$359</x:f>
        <x:v>24561</x:v>
      </x:c>
      <x:c r="F352" s="8" t="n">
        <x:f>D352-E352</x:f>
        <x:v>416249</x:v>
      </x:c>
      <x:c r="G352" s="8" t="n">
        <x:f>SUM('Source'!$Z$359,'Source'!$AB$359,'Source'!$AD$359,'Source'!$AF$359)</x:f>
        <x:v>254914</x:v>
      </x:c>
      <x:c r="H352" s="8" t="n">
        <x:f>'Source'!$AF$359</x:f>
        <x:v>127370</x:v>
      </x:c>
      <x:c r="I352" s="9" t="n">
        <x:f>IF(F352=0,"n.a.",G352/F352)</x:f>
        <x:v>0.6124074772552006</x:v>
      </x:c>
      <x:c r="J352" s="9" t="n">
        <x:f>IF(F352=0,"n.a.",H352/F352)</x:f>
        <x:v>0.30599472911646636</x:v>
      </x:c>
      <x:c r="K352" s="9" t="n">
        <x:f>IF(D352=0,"n.a.",E352/D352)</x:f>
        <x:v>0.05571788298813548</x:v>
      </x:c>
    </x:row>
    <x:row r="353" ht="22" customHeight="1">
      <x:c r="A353" s="6" t="str">
        <x:f>'Source'!$C$360</x:f>
        <x:v>Terre Haute, IN Metro Area</x:v>
      </x:c>
      <x:c r="B353" s="6" t="str">
        <x:f>'Source'!$B$360</x:f>
        <x:v>45460</x:v>
      </x:c>
      <x:c r="C353" s="7" t="n">
        <x:f>'Source'!$D$360</x:f>
        <x:v>2024</x:v>
      </x:c>
      <x:c r="D353" s="8" t="n">
        <x:f>'Source'!$N$360</x:f>
        <x:v>20739</x:v>
      </x:c>
      <x:c r="E353" s="8" t="n">
        <x:f>'Source'!$AH$360</x:f>
        <x:v>1945</x:v>
      </x:c>
      <x:c r="F353" s="8" t="n">
        <x:f>D353-E353</x:f>
        <x:v>18794</x:v>
      </x:c>
      <x:c r="G353" s="8" t="n">
        <x:f>SUM('Source'!$Z$360,'Source'!$AB$360,'Source'!$AD$360,'Source'!$AF$360)</x:f>
        <x:v>9911</x:v>
      </x:c>
      <x:c r="H353" s="8" t="n">
        <x:f>'Source'!$AF$360</x:f>
        <x:v>4953</x:v>
      </x:c>
      <x:c r="I353" s="9" t="n">
        <x:f>IF(F353=0,"n.a.",G353/F353)</x:f>
        <x:v>0.5273491539853145</x:v>
      </x:c>
      <x:c r="J353" s="9" t="n">
        <x:f>IF(F353=0,"n.a.",H353/F353)</x:f>
        <x:v>0.26354155581568584</x:v>
      </x:c>
      <x:c r="K353" s="9" t="n">
        <x:f>IF(D353=0,"n.a.",E353/D353)</x:f>
        <x:v>0.09378465692656347</x:v>
      </x:c>
    </x:row>
    <x:row r="354" ht="22" customHeight="1">
      <x:c r="A354" s="6" t="str">
        <x:f>'Source'!$C$361</x:f>
        <x:v>Texarkana, TX-AR Metro Area</x:v>
      </x:c>
      <x:c r="B354" s="6" t="str">
        <x:f>'Source'!$B$361</x:f>
        <x:v>45500</x:v>
      </x:c>
      <x:c r="C354" s="7" t="n">
        <x:f>'Source'!$D$361</x:f>
        <x:v>2024</x:v>
      </x:c>
      <x:c r="D354" s="8" t="n">
        <x:f>'Source'!$N$361</x:f>
        <x:v>22151</x:v>
      </x:c>
      <x:c r="E354" s="8" t="n">
        <x:f>'Source'!$AH$361</x:f>
        <x:v>3551</x:v>
      </x:c>
      <x:c r="F354" s="8" t="n">
        <x:f>D354-E354</x:f>
        <x:v>18600</x:v>
      </x:c>
      <x:c r="G354" s="8" t="n">
        <x:f>SUM('Source'!$Z$361,'Source'!$AB$361,'Source'!$AD$361,'Source'!$AF$361)</x:f>
        <x:v>7896</x:v>
      </x:c>
      <x:c r="H354" s="8" t="n">
        <x:f>'Source'!$AF$361</x:f>
        <x:v>3640</x:v>
      </x:c>
      <x:c r="I354" s="9" t="n">
        <x:f>IF(F354=0,"n.a.",G354/F354)</x:f>
        <x:v>0.42451612903225805</x:v>
      </x:c>
      <x:c r="J354" s="9" t="n">
        <x:f>IF(F354=0,"n.a.",H354/F354)</x:f>
        <x:v>0.1956989247311828</x:v>
      </x:c>
      <x:c r="K354" s="9" t="n">
        <x:f>IF(D354=0,"n.a.",E354/D354)</x:f>
        <x:v>0.1603087896708952</x:v>
      </x:c>
    </x:row>
    <x:row r="355" ht="22" customHeight="1">
      <x:c r="A355" s="6" t="str">
        <x:f>'Source'!$C$362</x:f>
        <x:v>Toledo, OH Metro Area</x:v>
      </x:c>
      <x:c r="B355" s="6" t="str">
        <x:f>'Source'!$B$362</x:f>
        <x:v>45780</x:v>
      </x:c>
      <x:c r="C355" s="7" t="n">
        <x:f>'Source'!$D$362</x:f>
        <x:v>2024</x:v>
      </x:c>
      <x:c r="D355" s="8" t="n">
        <x:f>'Source'!$N$362</x:f>
        <x:v>93824</x:v>
      </x:c>
      <x:c r="E355" s="8" t="n">
        <x:f>'Source'!$AH$362</x:f>
        <x:v>5817</x:v>
      </x:c>
      <x:c r="F355" s="8" t="n">
        <x:f>D355-E355</x:f>
        <x:v>88007</x:v>
      </x:c>
      <x:c r="G355" s="8" t="n">
        <x:f>SUM('Source'!$Z$362,'Source'!$AB$362,'Source'!$AD$362,'Source'!$AF$362)</x:f>
        <x:v>40560</x:v>
      </x:c>
      <x:c r="H355" s="8" t="n">
        <x:f>'Source'!$AF$362</x:f>
        <x:v>20353</x:v>
      </x:c>
      <x:c r="I355" s="9" t="n">
        <x:f>IF(F355=0,"n.a.",G355/F355)</x:f>
        <x:v>0.4608724306021112</x:v>
      </x:c>
      <x:c r="J355" s="9" t="n">
        <x:f>IF(F355=0,"n.a.",H355/F355)</x:f>
        <x:v>0.23126569477427933</x:v>
      </x:c>
      <x:c r="K355" s="9" t="n">
        <x:f>IF(D355=0,"n.a.",E355/D355)</x:f>
        <x:v>0.06199906207366985</x:v>
      </x:c>
    </x:row>
    <x:row r="356" ht="22" customHeight="1">
      <x:c r="A356" s="6" t="str">
        <x:f>'Source'!$C$363</x:f>
        <x:v>Topeka, KS Metro Area</x:v>
      </x:c>
      <x:c r="B356" s="6" t="str">
        <x:f>'Source'!$B$363</x:f>
        <x:v>45820</x:v>
      </x:c>
      <x:c r="C356" s="7" t="n">
        <x:f>'Source'!$D$363</x:f>
        <x:v>2024</x:v>
      </x:c>
      <x:c r="D356" s="8" t="n">
        <x:f>'Source'!$N$363</x:f>
        <x:v>31186</x:v>
      </x:c>
      <x:c r="E356" s="8" t="n">
        <x:f>'Source'!$AH$363</x:f>
        <x:v>2162</x:v>
      </x:c>
      <x:c r="F356" s="8" t="n">
        <x:f>D356-E356</x:f>
        <x:v>29024</x:v>
      </x:c>
      <x:c r="G356" s="8" t="n">
        <x:f>SUM('Source'!$Z$363,'Source'!$AB$363,'Source'!$AD$363,'Source'!$AF$363)</x:f>
        <x:v>11977</x:v>
      </x:c>
      <x:c r="H356" s="8" t="n">
        <x:f>'Source'!$AF$363</x:f>
        <x:v>5512</x:v>
      </x:c>
      <x:c r="I356" s="9" t="n">
        <x:f>IF(F356=0,"n.a.",G356/F356)</x:f>
        <x:v>0.4126584895259096</x:v>
      </x:c>
      <x:c r="J356" s="9" t="n">
        <x:f>IF(F356=0,"n.a.",H356/F356)</x:f>
        <x:v>0.18991179713340683</x:v>
      </x:c>
      <x:c r="K356" s="9" t="n">
        <x:f>IF(D356=0,"n.a.",E356/D356)</x:f>
        <x:v>0.06932597960623357</x:v>
      </x:c>
    </x:row>
    <x:row r="357" ht="22" customHeight="1">
      <x:c r="A357" s="6" t="str">
        <x:f>'Source'!$C$364</x:f>
        <x:v>Traverse City, MI Metro Area</x:v>
      </x:c>
      <x:c r="B357" s="6" t="str">
        <x:f>'Source'!$B$364</x:f>
        <x:v>45900</x:v>
      </x:c>
      <x:c r="C357" s="7" t="n">
        <x:f>'Source'!$D$364</x:f>
        <x:v>2024</x:v>
      </x:c>
      <x:c r="D357" s="8" t="n">
        <x:f>'Source'!$N$364</x:f>
        <x:v>11902</x:v>
      </x:c>
      <x:c r="E357" s="8" t="n">
        <x:f>'Source'!$AH$364</x:f>
        <x:v>1125</x:v>
      </x:c>
      <x:c r="F357" s="8" t="n">
        <x:f>D357-E357</x:f>
        <x:v>10777</x:v>
      </x:c>
      <x:c r="G357" s="8" t="n">
        <x:f>SUM('Source'!$Z$364,'Source'!$AB$364,'Source'!$AD$364,'Source'!$AF$364)</x:f>
        <x:v>5096</x:v>
      </x:c>
      <x:c r="H357" s="8" t="n">
        <x:f>'Source'!$AF$364</x:f>
        <x:v>2265</x:v>
      </x:c>
      <x:c r="I357" s="9" t="n">
        <x:f>IF(F357=0,"n.a.",G357/F357)</x:f>
        <x:v>0.47285886610373945</x:v>
      </x:c>
      <x:c r="J357" s="9" t="n">
        <x:f>IF(F357=0,"n.a.",H357/F357)</x:f>
        <x:v>0.21016980606847918</x:v>
      </x:c>
      <x:c r="K357" s="9" t="n">
        <x:f>IF(D357=0,"n.a.",E357/D357)</x:f>
        <x:v>0.0945219290875483</x:v>
      </x:c>
    </x:row>
    <x:row r="358" ht="22" customHeight="1">
      <x:c r="A358" s="6" t="str">
        <x:f>'Source'!$C$365</x:f>
        <x:v>Trenton-Princeton, NJ Metro Area</x:v>
      </x:c>
      <x:c r="B358" s="6" t="str">
        <x:f>'Source'!$B$365</x:f>
        <x:v>45940</x:v>
      </x:c>
      <x:c r="C358" s="7" t="n">
        <x:f>'Source'!$D$365</x:f>
        <x:v>2024</x:v>
      </x:c>
      <x:c r="D358" s="8" t="n">
        <x:f>'Source'!$N$365</x:f>
        <x:v>55733</x:v>
      </x:c>
      <x:c r="E358" s="8" t="n">
        <x:f>'Source'!$AH$365</x:f>
        <x:v>2284</x:v>
      </x:c>
      <x:c r="F358" s="8" t="n">
        <x:f>D358-E358</x:f>
        <x:v>53449</x:v>
      </x:c>
      <x:c r="G358" s="8" t="n">
        <x:f>SUM('Source'!$Z$365,'Source'!$AB$365,'Source'!$AD$365,'Source'!$AF$365)</x:f>
        <x:v>26157</x:v>
      </x:c>
      <x:c r="H358" s="8" t="n">
        <x:f>'Source'!$AF$365</x:f>
        <x:v>12336</x:v>
      </x:c>
      <x:c r="I358" s="9" t="n">
        <x:f>IF(F358=0,"n.a.",G358/F358)</x:f>
        <x:v>0.48938240191584503</x:v>
      </x:c>
      <x:c r="J358" s="9" t="n">
        <x:f>IF(F358=0,"n.a.",H358/F358)</x:f>
        <x:v>0.23079945368482105</x:v>
      </x:c>
      <x:c r="K358" s="9" t="n">
        <x:f>IF(D358=0,"n.a.",E358/D358)</x:f>
        <x:v>0.04098110634632982</x:v>
      </x:c>
    </x:row>
    <x:row r="359" ht="22" customHeight="1">
      <x:c r="A359" s="6" t="str">
        <x:f>'Source'!$C$366</x:f>
        <x:v>Tucson, AZ Metro Area</x:v>
      </x:c>
      <x:c r="B359" s="6" t="str">
        <x:f>'Source'!$B$366</x:f>
        <x:v>46060</x:v>
      </x:c>
      <x:c r="C359" s="7" t="n">
        <x:f>'Source'!$D$366</x:f>
        <x:v>2024</x:v>
      </x:c>
      <x:c r="D359" s="8" t="n">
        <x:f>'Source'!$N$366</x:f>
        <x:v>152892</x:v>
      </x:c>
      <x:c r="E359" s="8" t="n">
        <x:f>'Source'!$AH$366</x:f>
        <x:v>9769</x:v>
      </x:c>
      <x:c r="F359" s="8" t="n">
        <x:f>D359-E359</x:f>
        <x:v>143123</x:v>
      </x:c>
      <x:c r="G359" s="8" t="n">
        <x:f>SUM('Source'!$Z$366,'Source'!$AB$366,'Source'!$AD$366,'Source'!$AF$366)</x:f>
        <x:v>75346</x:v>
      </x:c>
      <x:c r="H359" s="8" t="n">
        <x:f>'Source'!$AF$366</x:f>
        <x:v>36462</x:v>
      </x:c>
      <x:c r="I359" s="9" t="n">
        <x:f>IF(F359=0,"n.a.",G359/F359)</x:f>
        <x:v>0.5264422908966413</x:v>
      </x:c>
      <x:c r="J359" s="9" t="n">
        <x:f>IF(F359=0,"n.a.",H359/F359)</x:f>
        <x:v>0.2547598918412834</x:v>
      </x:c>
      <x:c r="K359" s="9" t="n">
        <x:f>IF(D359=0,"n.a.",E359/D359)</x:f>
        <x:v>0.06389477539701227</x:v>
      </x:c>
    </x:row>
    <x:row r="360" ht="22" customHeight="1">
      <x:c r="A360" s="6" t="str">
        <x:f>'Source'!$C$367</x:f>
        <x:v>Tulsa, OK Metro Area</x:v>
      </x:c>
      <x:c r="B360" s="6" t="str">
        <x:f>'Source'!$B$367</x:f>
        <x:v>46140</x:v>
      </x:c>
      <x:c r="C360" s="7" t="n">
        <x:f>'Source'!$D$367</x:f>
        <x:v>2024</x:v>
      </x:c>
      <x:c r="D360" s="8" t="n">
        <x:f>'Source'!$N$367</x:f>
        <x:v>148706</x:v>
      </x:c>
      <x:c r="E360" s="8" t="n">
        <x:f>'Source'!$AH$367</x:f>
        <x:v>12668</x:v>
      </x:c>
      <x:c r="F360" s="8" t="n">
        <x:f>D360-E360</x:f>
        <x:v>136038</x:v>
      </x:c>
      <x:c r="G360" s="8" t="n">
        <x:f>SUM('Source'!$Z$367,'Source'!$AB$367,'Source'!$AD$367,'Source'!$AF$367)</x:f>
        <x:v>62308</x:v>
      </x:c>
      <x:c r="H360" s="8" t="n">
        <x:f>'Source'!$AF$367</x:f>
        <x:v>28675</x:v>
      </x:c>
      <x:c r="I360" s="9" t="n">
        <x:f>IF(F360=0,"n.a.",G360/F360)</x:f>
        <x:v>0.45801908290330645</x:v>
      </x:c>
      <x:c r="J360" s="9" t="n">
        <x:f>IF(F360=0,"n.a.",H360/F360)</x:f>
        <x:v>0.21078669195371882</x:v>
      </x:c>
      <x:c r="K360" s="9" t="n">
        <x:f>IF(D360=0,"n.a.",E360/D360)</x:f>
        <x:v>0.08518822374349387</x:v>
      </x:c>
    </x:row>
    <x:row r="361" ht="22" customHeight="1">
      <x:c r="A361" s="6" t="str">
        <x:f>'Source'!$C$368</x:f>
        <x:v>Tuscaloosa, AL Metro Area</x:v>
      </x:c>
      <x:c r="B361" s="6" t="str">
        <x:f>'Source'!$B$368</x:f>
        <x:v>46220</x:v>
      </x:c>
      <x:c r="C361" s="7" t="n">
        <x:f>'Source'!$D$368</x:f>
        <x:v>2024</x:v>
      </x:c>
      <x:c r="D361" s="8" t="n">
        <x:f>'Source'!$N$368</x:f>
        <x:v>41248</x:v>
      </x:c>
      <x:c r="E361" s="8" t="n">
        <x:f>'Source'!$AH$368</x:f>
        <x:v>4865</x:v>
      </x:c>
      <x:c r="F361" s="8" t="n">
        <x:f>D361-E361</x:f>
        <x:v>36383</x:v>
      </x:c>
      <x:c r="G361" s="8" t="n">
        <x:f>SUM('Source'!$Z$368,'Source'!$AB$368,'Source'!$AD$368,'Source'!$AF$368)</x:f>
        <x:v>16615</x:v>
      </x:c>
      <x:c r="H361" s="8" t="n">
        <x:f>'Source'!$AF$368</x:f>
        <x:v>11507</x:v>
      </x:c>
      <x:c r="I361" s="9" t="n">
        <x:f>IF(F361=0,"n.a.",G361/F361)</x:f>
        <x:v>0.4566693235851909</x:v>
      </x:c>
      <x:c r="J361" s="9" t="n">
        <x:f>IF(F361=0,"n.a.",H361/F361)</x:f>
        <x:v>0.31627408405024326</x:v>
      </x:c>
      <x:c r="K361" s="9" t="n">
        <x:f>IF(D361=0,"n.a.",E361/D361)</x:f>
        <x:v>0.11794511249030255</x:v>
      </x:c>
    </x:row>
    <x:row r="362" ht="22" customHeight="1">
      <x:c r="A362" s="6" t="str">
        <x:f>'Source'!$C$369</x:f>
        <x:v>Twin Falls, ID Metro Area</x:v>
      </x:c>
      <x:c r="B362" s="6" t="str">
        <x:f>'Source'!$B$369</x:f>
        <x:v>46300</x:v>
      </x:c>
      <x:c r="C362" s="7" t="n">
        <x:f>'Source'!$D$369</x:f>
        <x:v>2024</x:v>
      </x:c>
      <x:c r="D362" s="8" t="n">
        <x:f>'Source'!$N$369</x:f>
        <x:v>13410</x:v>
      </x:c>
      <x:c r="E362" s="8" t="n">
        <x:f>'Source'!$AH$369</x:f>
        <x:v>808</x:v>
      </x:c>
      <x:c r="F362" s="8" t="n">
        <x:f>D362-E362</x:f>
        <x:v>12602</x:v>
      </x:c>
      <x:c r="G362" s="8" t="n">
        <x:f>SUM('Source'!$Z$369,'Source'!$AB$369,'Source'!$AD$369,'Source'!$AF$369)</x:f>
        <x:v>6208</x:v>
      </x:c>
      <x:c r="H362" s="8" t="n">
        <x:f>'Source'!$AF$369</x:f>
        <x:v>3275</x:v>
      </x:c>
      <x:c r="I362" s="9" t="n">
        <x:f>IF(F362=0,"n.a.",G362/F362)</x:f>
        <x:v>0.4926202190128551</x:v>
      </x:c>
      <x:c r="J362" s="9" t="n">
        <x:f>IF(F362=0,"n.a.",H362/F362)</x:f>
        <x:v>0.25987938422472623</x:v>
      </x:c>
      <x:c r="K362" s="9" t="n">
        <x:f>IF(D362=0,"n.a.",E362/D362)</x:f>
        <x:v>0.060253542132736766</x:v>
      </x:c>
    </x:row>
    <x:row r="363" ht="22" customHeight="1">
      <x:c r="A363" s="6" t="str">
        <x:f>'Source'!$C$370</x:f>
        <x:v>Tyler, TX Metro Area</x:v>
      </x:c>
      <x:c r="B363" s="6" t="str">
        <x:f>'Source'!$B$370</x:f>
        <x:v>46340</x:v>
      </x:c>
      <x:c r="C363" s="7" t="n">
        <x:f>'Source'!$D$370</x:f>
        <x:v>2024</x:v>
      </x:c>
      <x:c r="D363" s="8" t="n">
        <x:f>'Source'!$N$370</x:f>
        <x:v>31013</x:v>
      </x:c>
      <x:c r="E363" s="8" t="n">
        <x:f>'Source'!$AH$370</x:f>
        <x:v>2074</x:v>
      </x:c>
      <x:c r="F363" s="8" t="n">
        <x:f>D363-E363</x:f>
        <x:v>28939</x:v>
      </x:c>
      <x:c r="G363" s="8" t="n">
        <x:f>SUM('Source'!$Z$370,'Source'!$AB$370,'Source'!$AD$370,'Source'!$AF$370)</x:f>
        <x:v>14145</x:v>
      </x:c>
      <x:c r="H363" s="8" t="n">
        <x:f>'Source'!$AF$370</x:f>
        <x:v>7424</x:v>
      </x:c>
      <x:c r="I363" s="9" t="n">
        <x:f>IF(F363=0,"n.a.",G363/F363)</x:f>
        <x:v>0.48878675835377866</x:v>
      </x:c>
      <x:c r="J363" s="9" t="n">
        <x:f>IF(F363=0,"n.a.",H363/F363)</x:f>
        <x:v>0.256539617816787</x:v>
      </x:c>
      <x:c r="K363" s="9" t="n">
        <x:f>IF(D363=0,"n.a.",E363/D363)</x:f>
        <x:v>0.06687518137555219</x:v>
      </x:c>
    </x:row>
    <x:row r="364" ht="22" customHeight="1">
      <x:c r="A364" s="6" t="str">
        <x:f>'Source'!$C$371</x:f>
        <x:v>Urban Honolulu, HI Metro Area</x:v>
      </x:c>
      <x:c r="B364" s="6" t="str">
        <x:f>'Source'!$B$371</x:f>
        <x:v>46520</x:v>
      </x:c>
      <x:c r="C364" s="7" t="n">
        <x:f>'Source'!$D$371</x:f>
        <x:v>2024</x:v>
      </x:c>
      <x:c r="D364" s="8" t="n">
        <x:f>'Source'!$N$371</x:f>
        <x:v>142130</x:v>
      </x:c>
      <x:c r="E364" s="8" t="n">
        <x:f>'Source'!$AH$371</x:f>
        <x:v>8848</x:v>
      </x:c>
      <x:c r="F364" s="8" t="n">
        <x:f>D364-E364</x:f>
        <x:v>133282</x:v>
      </x:c>
      <x:c r="G364" s="8" t="n">
        <x:f>SUM('Source'!$Z$371,'Source'!$AB$371,'Source'!$AD$371,'Source'!$AF$371)</x:f>
        <x:v>72930</x:v>
      </x:c>
      <x:c r="H364" s="8" t="n">
        <x:f>'Source'!$AF$371</x:f>
        <x:v>36102</x:v>
      </x:c>
      <x:c r="I364" s="9" t="n">
        <x:f>IF(F364=0,"n.a.",G364/F364)</x:f>
        <x:v>0.5471856664815954</x:v>
      </x:c>
      <x:c r="J364" s="9" t="n">
        <x:f>IF(F364=0,"n.a.",H364/F364)</x:f>
        <x:v>0.2708692846745997</x:v>
      </x:c>
      <x:c r="K364" s="9" t="n">
        <x:f>IF(D364=0,"n.a.",E364/D364)</x:f>
        <x:v>0.06225286709350594</x:v>
      </x:c>
    </x:row>
    <x:row r="365" ht="22" customHeight="1">
      <x:c r="A365" s="6" t="str">
        <x:f>'Source'!$C$372</x:f>
        <x:v>Utica-Rome, NY Metro Area</x:v>
      </x:c>
      <x:c r="B365" s="6" t="str">
        <x:f>'Source'!$B$372</x:f>
        <x:v>46540</x:v>
      </x:c>
      <x:c r="C365" s="7" t="n">
        <x:f>'Source'!$D$372</x:f>
        <x:v>2024</x:v>
      </x:c>
      <x:c r="D365" s="8" t="n">
        <x:f>'Source'!$N$372</x:f>
        <x:v>33790</x:v>
      </x:c>
      <x:c r="E365" s="8" t="n">
        <x:f>'Source'!$AH$372</x:f>
        <x:v>3093</x:v>
      </x:c>
      <x:c r="F365" s="8" t="n">
        <x:f>D365-E365</x:f>
        <x:v>30697</x:v>
      </x:c>
      <x:c r="G365" s="8" t="n">
        <x:f>SUM('Source'!$Z$372,'Source'!$AB$372,'Source'!$AD$372,'Source'!$AF$372)</x:f>
        <x:v>14749</x:v>
      </x:c>
      <x:c r="H365" s="8" t="n">
        <x:f>'Source'!$AF$372</x:f>
        <x:v>9318</x:v>
      </x:c>
      <x:c r="I365" s="9" t="n">
        <x:f>IF(F365=0,"n.a.",G365/F365)</x:f>
        <x:v>0.4804704042740333</x:v>
      </x:c>
      <x:c r="J365" s="9" t="n">
        <x:f>IF(F365=0,"n.a.",H365/F365)</x:f>
        <x:v>0.3035475779392123</x:v>
      </x:c>
      <x:c r="K365" s="9" t="n">
        <x:f>IF(D365=0,"n.a.",E365/D365)</x:f>
        <x:v>0.09153595738384138</x:v>
      </x:c>
    </x:row>
    <x:row r="366" ht="22" customHeight="1">
      <x:c r="A366" s="6" t="str">
        <x:f>'Source'!$C$373</x:f>
        <x:v>Valdosta, GA Metro Area</x:v>
      </x:c>
      <x:c r="B366" s="6" t="str">
        <x:f>'Source'!$B$373</x:f>
        <x:v>46660</x:v>
      </x:c>
      <x:c r="C366" s="7" t="n">
        <x:f>'Source'!$D$373</x:f>
        <x:v>2024</x:v>
      </x:c>
      <x:c r="D366" s="8" t="n">
        <x:f>'Source'!$N$373</x:f>
        <x:v>22889</x:v>
      </x:c>
      <x:c r="E366" s="8" t="n">
        <x:f>'Source'!$AH$373</x:f>
        <x:v>2870</x:v>
      </x:c>
      <x:c r="F366" s="8" t="n">
        <x:f>D366-E366</x:f>
        <x:v>20019</x:v>
      </x:c>
      <x:c r="G366" s="8" t="n">
        <x:f>SUM('Source'!$Z$373,'Source'!$AB$373,'Source'!$AD$373,'Source'!$AF$373)</x:f>
        <x:v>10312</x:v>
      </x:c>
      <x:c r="H366" s="8" t="n">
        <x:f>'Source'!$AF$373</x:f>
        <x:v>6665</x:v>
      </x:c>
      <x:c r="I366" s="9" t="n">
        <x:f>IF(F366=0,"n.a.",G366/F366)</x:f>
        <x:v>0.515110644887357</x:v>
      </x:c>
      <x:c r="J366" s="9" t="n">
        <x:f>IF(F366=0,"n.a.",H366/F366)</x:f>
        <x:v>0.33293371297267593</x:v>
      </x:c>
      <x:c r="K366" s="9" t="n">
        <x:f>IF(D366=0,"n.a.",E366/D366)</x:f>
        <x:v>0.12538774083620954</x:v>
      </x:c>
    </x:row>
    <x:row r="367" ht="22" customHeight="1">
      <x:c r="A367" s="6" t="str">
        <x:f>'Source'!$C$374</x:f>
        <x:v>Vallejo, CA Metro Area</x:v>
      </x:c>
      <x:c r="B367" s="6" t="str">
        <x:f>'Source'!$B$374</x:f>
        <x:v>46700</x:v>
      </x:c>
      <x:c r="C367" s="7" t="n">
        <x:f>'Source'!$D$374</x:f>
        <x:v>2024</x:v>
      </x:c>
      <x:c r="D367" s="8" t="n">
        <x:f>'Source'!$N$374</x:f>
        <x:v>61695</x:v>
      </x:c>
      <x:c r="E367" s="8" t="n">
        <x:f>'Source'!$AH$374</x:f>
        <x:v>2944</x:v>
      </x:c>
      <x:c r="F367" s="8" t="n">
        <x:f>D367-E367</x:f>
        <x:v>58751</x:v>
      </x:c>
      <x:c r="G367" s="8" t="n">
        <x:f>SUM('Source'!$Z$374,'Source'!$AB$374,'Source'!$AD$374,'Source'!$AF$374)</x:f>
        <x:v>38578</x:v>
      </x:c>
      <x:c r="H367" s="8" t="n">
        <x:f>'Source'!$AF$374</x:f>
        <x:v>19316</x:v>
      </x:c>
      <x:c r="I367" s="9" t="n">
        <x:f>IF(F367=0,"n.a.",G367/F367)</x:f>
        <x:v>0.6566356317339279</x:v>
      </x:c>
      <x:c r="J367" s="9" t="n">
        <x:f>IF(F367=0,"n.a.",H367/F367)</x:f>
        <x:v>0.3287773825126381</x:v>
      </x:c>
      <x:c r="K367" s="9" t="n">
        <x:f>IF(D367=0,"n.a.",E367/D367)</x:f>
        <x:v>0.047718615771132185</x:v>
      </x:c>
    </x:row>
    <x:row r="368" ht="22" customHeight="1">
      <x:c r="A368" s="6" t="str">
        <x:f>'Source'!$C$375</x:f>
        <x:v>Victoria, TX Metro Area</x:v>
      </x:c>
      <x:c r="B368" s="6" t="str">
        <x:f>'Source'!$B$375</x:f>
        <x:v>47020</x:v>
      </x:c>
      <x:c r="C368" s="7" t="n">
        <x:f>'Source'!$D$375</x:f>
        <x:v>2024</x:v>
      </x:c>
      <x:c r="D368" s="8" t="n">
        <x:f>'Source'!$N$375</x:f>
        <x:v>14059</x:v>
      </x:c>
      <x:c r="E368" s="8" t="n">
        <x:f>'Source'!$AH$375</x:f>
        <x:v>1006</x:v>
      </x:c>
      <x:c r="F368" s="8" t="n">
        <x:f>D368-E368</x:f>
        <x:v>13053</x:v>
      </x:c>
      <x:c r="G368" s="8" t="n">
        <x:f>SUM('Source'!$Z$375,'Source'!$AB$375,'Source'!$AD$375,'Source'!$AF$375)</x:f>
        <x:v>5975</x:v>
      </x:c>
      <x:c r="H368" s="8" t="n">
        <x:f>'Source'!$AF$375</x:f>
        <x:v>2799</x:v>
      </x:c>
      <x:c r="I368" s="9" t="n">
        <x:f>IF(F368=0,"n.a.",G368/F368)</x:f>
        <x:v>0.4577491764345361</x:v>
      </x:c>
      <x:c r="J368" s="9" t="n">
        <x:f>IF(F368=0,"n.a.",H368/F368)</x:f>
        <x:v>0.21443346357159274</x:v>
      </x:c>
      <x:c r="K368" s="9" t="n">
        <x:f>IF(D368=0,"n.a.",E368/D368)</x:f>
        <x:v>0.0715555871683619</x:v>
      </x:c>
    </x:row>
    <x:row r="369" ht="22" customHeight="1">
      <x:c r="A369" s="6" t="str">
        <x:f>'Source'!$C$376</x:f>
        <x:v>Vineland, NJ Metro Area</x:v>
      </x:c>
      <x:c r="B369" s="6" t="str">
        <x:f>'Source'!$B$376</x:f>
        <x:v>47220</x:v>
      </x:c>
      <x:c r="C369" s="7" t="n">
        <x:f>'Source'!$D$376</x:f>
        <x:v>2024</x:v>
      </x:c>
      <x:c r="D369" s="8" t="n">
        <x:f>'Source'!$N$376</x:f>
        <x:v>18516</x:v>
      </x:c>
      <x:c r="E369" s="8" t="n">
        <x:f>'Source'!$AH$376</x:f>
        <x:v>1507</x:v>
      </x:c>
      <x:c r="F369" s="8" t="n">
        <x:f>D369-E369</x:f>
        <x:v>17009</x:v>
      </x:c>
      <x:c r="G369" s="8" t="n">
        <x:f>SUM('Source'!$Z$376,'Source'!$AB$376,'Source'!$AD$376,'Source'!$AF$376)</x:f>
        <x:v>11211</x:v>
      </x:c>
      <x:c r="H369" s="8" t="n">
        <x:f>'Source'!$AF$376</x:f>
        <x:v>6000</x:v>
      </x:c>
      <x:c r="I369" s="9" t="n">
        <x:f>IF(F369=0,"n.a.",G369/F369)</x:f>
        <x:v>0.6591216414839203</x:v>
      </x:c>
      <x:c r="J369" s="9" t="n">
        <x:f>IF(F369=0,"n.a.",H369/F369)</x:f>
        <x:v>0.35275442412840263</x:v>
      </x:c>
      <x:c r="K369" s="9" t="n">
        <x:f>IF(D369=0,"n.a.",E369/D369)</x:f>
        <x:v>0.08138906891337222</x:v>
      </x:c>
    </x:row>
    <x:row r="370" ht="22" customHeight="1">
      <x:c r="A370" s="6" t="str">
        <x:f>'Source'!$C$377</x:f>
        <x:v>Virginia Beach-Chesapeake-Norfolk, VA-NC Metro Area</x:v>
      </x:c>
      <x:c r="B370" s="6" t="str">
        <x:f>'Source'!$B$377</x:f>
        <x:v>47260</x:v>
      </x:c>
      <x:c r="C370" s="7" t="n">
        <x:f>'Source'!$D$377</x:f>
        <x:v>2024</x:v>
      </x:c>
      <x:c r="D370" s="8" t="n">
        <x:f>'Source'!$N$377</x:f>
        <x:v>266624</x:v>
      </x:c>
      <x:c r="E370" s="8" t="n">
        <x:f>'Source'!$AH$377</x:f>
        <x:v>12862</x:v>
      </x:c>
      <x:c r="F370" s="8" t="n">
        <x:f>D370-E370</x:f>
        <x:v>253762</x:v>
      </x:c>
      <x:c r="G370" s="8" t="n">
        <x:f>SUM('Source'!$Z$377,'Source'!$AB$377,'Source'!$AD$377,'Source'!$AF$377)</x:f>
        <x:v>141893</x:v>
      </x:c>
      <x:c r="H370" s="8" t="n">
        <x:f>'Source'!$AF$377</x:f>
        <x:v>67032</x:v>
      </x:c>
      <x:c r="I370" s="9" t="n">
        <x:f>IF(F370=0,"n.a.",G370/F370)</x:f>
        <x:v>0.5591577935230649</x:v>
      </x:c>
      <x:c r="J370" s="9" t="n">
        <x:f>IF(F370=0,"n.a.",H370/F370)</x:f>
        <x:v>0.264153025275652</x:v>
      </x:c>
      <x:c r="K370" s="9" t="n">
        <x:f>IF(D370=0,"n.a.",E370/D370)</x:f>
        <x:v>0.04824021843494959</x:v>
      </x:c>
    </x:row>
    <x:row r="371" ht="22" customHeight="1">
      <x:c r="A371" s="6" t="str">
        <x:f>'Source'!$C$378</x:f>
        <x:v>Visalia, CA Metro Area</x:v>
      </x:c>
      <x:c r="B371" s="6" t="str">
        <x:f>'Source'!$B$378</x:f>
        <x:v>47300</x:v>
      </x:c>
      <x:c r="C371" s="7" t="n">
        <x:f>'Source'!$D$378</x:f>
        <x:v>2024</x:v>
      </x:c>
      <x:c r="D371" s="8" t="n">
        <x:f>'Source'!$N$378</x:f>
        <x:v>60760</x:v>
      </x:c>
      <x:c r="E371" s="8" t="n">
        <x:f>'Source'!$AH$378</x:f>
        <x:v>3815</x:v>
      </x:c>
      <x:c r="F371" s="8" t="n">
        <x:f>D371-E371</x:f>
        <x:v>56945</x:v>
      </x:c>
      <x:c r="G371" s="8" t="n">
        <x:f>SUM('Source'!$Z$378,'Source'!$AB$378,'Source'!$AD$378,'Source'!$AF$378)</x:f>
        <x:v>29982</x:v>
      </x:c>
      <x:c r="H371" s="8" t="n">
        <x:f>'Source'!$AF$378</x:f>
        <x:v>16890</x:v>
      </x:c>
      <x:c r="I371" s="9" t="n">
        <x:f>IF(F371=0,"n.a.",G371/F371)</x:f>
        <x:v>0.5265080340679603</x:v>
      </x:c>
      <x:c r="J371" s="9" t="n">
        <x:f>IF(F371=0,"n.a.",H371/F371)</x:f>
        <x:v>0.2966019843708842</x:v>
      </x:c>
      <x:c r="K371" s="9" t="n">
        <x:f>IF(D371=0,"n.a.",E371/D371)</x:f>
        <x:v>0.06278801843317973</x:v>
      </x:c>
    </x:row>
    <x:row r="372" ht="22" customHeight="1">
      <x:c r="A372" s="6" t="str">
        <x:f>'Source'!$C$379</x:f>
        <x:v>Waco, TX Metro Area</x:v>
      </x:c>
      <x:c r="B372" s="6" t="str">
        <x:f>'Source'!$B$379</x:f>
        <x:v>47380</x:v>
      </x:c>
      <x:c r="C372" s="7" t="n">
        <x:f>'Source'!$D$379</x:f>
        <x:v>2024</x:v>
      </x:c>
      <x:c r="D372" s="8" t="n">
        <x:f>'Source'!$N$379</x:f>
        <x:v>42690</x:v>
      </x:c>
      <x:c r="E372" s="8" t="n">
        <x:f>'Source'!$AH$379</x:f>
        <x:v>5100</x:v>
      </x:c>
      <x:c r="F372" s="8" t="n">
        <x:f>D372-E372</x:f>
        <x:v>37590</x:v>
      </x:c>
      <x:c r="G372" s="8" t="n">
        <x:f>SUM('Source'!$Z$379,'Source'!$AB$379,'Source'!$AD$379,'Source'!$AF$379)</x:f>
        <x:v>21388</x:v>
      </x:c>
      <x:c r="H372" s="8" t="n">
        <x:f>'Source'!$AF$379</x:f>
        <x:v>9672</x:v>
      </x:c>
      <x:c r="I372" s="9" t="n">
        <x:f>IF(F372=0,"n.a.",G372/F372)</x:f>
        <x:v>0.5689811119978718</x:v>
      </x:c>
      <x:c r="J372" s="9" t="n">
        <x:f>IF(F372=0,"n.a.",H372/F372)</x:f>
        <x:v>0.2573024740622506</x:v>
      </x:c>
      <x:c r="K372" s="9" t="n">
        <x:f>IF(D372=0,"n.a.",E372/D372)</x:f>
        <x:v>0.11946591707659873</x:v>
      </x:c>
    </x:row>
    <x:row r="373" ht="22" customHeight="1">
      <x:c r="A373" s="6" t="str">
        <x:f>'Source'!$C$380</x:f>
        <x:v>Walla Walla, WA Metro Area</x:v>
      </x:c>
      <x:c r="B373" s="6" t="str">
        <x:f>'Source'!$B$380</x:f>
        <x:v>47460</x:v>
      </x:c>
      <x:c r="C373" s="7" t="n">
        <x:f>'Source'!$D$380</x:f>
        <x:v>2024</x:v>
      </x:c>
      <x:c r="D373" s="8" t="n">
        <x:f>'Source'!$N$380</x:f>
        <x:v>8592</x:v>
      </x:c>
      <x:c r="E373" s="8" t="n">
        <x:f>'Source'!$AH$380</x:f>
        <x:v>478</x:v>
      </x:c>
      <x:c r="F373" s="8" t="n">
        <x:f>D373-E373</x:f>
        <x:v>8114</x:v>
      </x:c>
      <x:c r="G373" s="8" t="n">
        <x:f>SUM('Source'!$Z$380,'Source'!$AB$380,'Source'!$AD$380,'Source'!$AF$380)</x:f>
        <x:v>5141</x:v>
      </x:c>
      <x:c r="H373" s="8" t="n">
        <x:f>'Source'!$AF$380</x:f>
        <x:v>2156</x:v>
      </x:c>
      <x:c r="I373" s="9" t="n">
        <x:f>IF(F373=0,"n.a.",G373/F373)</x:f>
        <x:v>0.6335962533892039</x:v>
      </x:c>
      <x:c r="J373" s="9" t="n">
        <x:f>IF(F373=0,"n.a.",H373/F373)</x:f>
        <x:v>0.26571358146413604</x:v>
      </x:c>
      <x:c r="K373" s="9" t="n">
        <x:f>IF(D373=0,"n.a.",E373/D373)</x:f>
        <x:v>0.05563314711359404</x:v>
      </x:c>
    </x:row>
    <x:row r="374" ht="22" customHeight="1">
      <x:c r="A374" s="6" t="str">
        <x:f>'Source'!$C$381</x:f>
        <x:v>Warner Robins, GA Metro Area</x:v>
      </x:c>
      <x:c r="B374" s="6" t="str">
        <x:f>'Source'!$B$381</x:f>
        <x:v>47580</x:v>
      </x:c>
      <x:c r="C374" s="7" t="n">
        <x:f>'Source'!$D$381</x:f>
        <x:v>2024</x:v>
      </x:c>
      <x:c r="D374" s="8" t="n">
        <x:f>'Source'!$N$381</x:f>
        <x:v>28298</x:v>
      </x:c>
      <x:c r="E374" s="8" t="n">
        <x:f>'Source'!$AH$381</x:f>
        <x:v>3249</x:v>
      </x:c>
      <x:c r="F374" s="8" t="n">
        <x:f>D374-E374</x:f>
        <x:v>25049</x:v>
      </x:c>
      <x:c r="G374" s="8" t="n">
        <x:f>SUM('Source'!$Z$381,'Source'!$AB$381,'Source'!$AD$381,'Source'!$AF$381)</x:f>
        <x:v>11971</x:v>
      </x:c>
      <x:c r="H374" s="8" t="n">
        <x:f>'Source'!$AF$381</x:f>
        <x:v>5904</x:v>
      </x:c>
      <x:c r="I374" s="9" t="n">
        <x:f>IF(F374=0,"n.a.",G374/F374)</x:f>
        <x:v>0.4779033095133538</x:v>
      </x:c>
      <x:c r="J374" s="9" t="n">
        <x:f>IF(F374=0,"n.a.",H374/F374)</x:f>
        <x:v>0.2356980318575592</x:v>
      </x:c>
      <x:c r="K374" s="9" t="n">
        <x:f>IF(D374=0,"n.a.",E374/D374)</x:f>
        <x:v>0.11481376775743869</x:v>
      </x:c>
    </x:row>
    <x:row r="375" ht="22" customHeight="1">
      <x:c r="A375" s="6" t="str">
        <x:f>'Source'!$C$382</x:f>
        <x:v>Washington-Arlington-Alexandria, DC-VA-MD-WV Metro Area</x:v>
      </x:c>
      <x:c r="B375" s="6" t="str">
        <x:f>'Source'!$B$382</x:f>
        <x:v>47900</x:v>
      </x:c>
      <x:c r="C375" s="7" t="n">
        <x:f>'Source'!$D$382</x:f>
        <x:v>2024</x:v>
      </x:c>
      <x:c r="D375" s="8" t="n">
        <x:f>'Source'!$N$382</x:f>
        <x:v>884329</x:v>
      </x:c>
      <x:c r="E375" s="8" t="n">
        <x:f>'Source'!$AH$382</x:f>
        <x:v>40790</x:v>
      </x:c>
      <x:c r="F375" s="8" t="n">
        <x:f>D375-E375</x:f>
        <x:v>843539</x:v>
      </x:c>
      <x:c r="G375" s="8" t="n">
        <x:f>SUM('Source'!$Z$382,'Source'!$AB$382,'Source'!$AD$382,'Source'!$AF$382)</x:f>
        <x:v>407996</x:v>
      </x:c>
      <x:c r="H375" s="8" t="n">
        <x:f>'Source'!$AF$382</x:f>
        <x:v>198426</x:v>
      </x:c>
      <x:c r="I375" s="9" t="n">
        <x:f>IF(F375=0,"n.a.",G375/F375)</x:f>
        <x:v>0.48367176858449934</x:v>
      </x:c>
      <x:c r="J375" s="9" t="n">
        <x:f>IF(F375=0,"n.a.",H375/F375)</x:f>
        <x:v>0.23523038057517198</x:v>
      </x:c>
      <x:c r="K375" s="9" t="n">
        <x:f>IF(D375=0,"n.a.",E375/D375)</x:f>
        <x:v>0.0461253673689317</x:v>
      </x:c>
    </x:row>
    <x:row r="376" ht="22" customHeight="1">
      <x:c r="A376" s="6" t="str">
        <x:f>'Source'!$C$383</x:f>
        <x:v>Waterbury-Shelton, CT Metro Area</x:v>
      </x:c>
      <x:c r="B376" s="6" t="str">
        <x:f>'Source'!$B$383</x:f>
        <x:v>47930</x:v>
      </x:c>
      <x:c r="C376" s="7" t="n">
        <x:f>'Source'!$D$383</x:f>
        <x:v>2024</x:v>
      </x:c>
      <x:c r="D376" s="8" t="n">
        <x:f>'Source'!$N$383</x:f>
        <x:v>57376</x:v>
      </x:c>
      <x:c r="E376" s="8" t="n">
        <x:f>'Source'!$AH$383</x:f>
        <x:v>4959</x:v>
      </x:c>
      <x:c r="F376" s="8" t="n">
        <x:f>D376-E376</x:f>
        <x:v>52417</x:v>
      </x:c>
      <x:c r="G376" s="8" t="n">
        <x:f>SUM('Source'!$Z$383,'Source'!$AB$383,'Source'!$AD$383,'Source'!$AF$383)</x:f>
        <x:v>32114</x:v>
      </x:c>
      <x:c r="H376" s="8" t="n">
        <x:f>'Source'!$AF$383</x:f>
        <x:v>16511</x:v>
      </x:c>
      <x:c r="I376" s="9" t="n">
        <x:f>IF(F376=0,"n.a.",G376/F376)</x:f>
        <x:v>0.6126638304366904</x:v>
      </x:c>
      <x:c r="J376" s="9" t="n">
        <x:f>IF(F376=0,"n.a.",H376/F376)</x:f>
        <x:v>0.3149932273880611</x:v>
      </x:c>
      <x:c r="K376" s="9" t="n">
        <x:f>IF(D376=0,"n.a.",E376/D376)</x:f>
        <x:v>0.08642986614612382</x:v>
      </x:c>
    </x:row>
    <x:row r="377" ht="22" customHeight="1">
      <x:c r="A377" s="6" t="str">
        <x:f>'Source'!$C$384</x:f>
        <x:v>Waterloo-Cedar Falls, IA Metro Area</x:v>
      </x:c>
      <x:c r="B377" s="6" t="str">
        <x:f>'Source'!$B$384</x:f>
        <x:v>47940</x:v>
      </x:c>
      <x:c r="C377" s="7" t="n">
        <x:f>'Source'!$D$384</x:f>
        <x:v>2024</x:v>
      </x:c>
      <x:c r="D377" s="8" t="n">
        <x:f>'Source'!$N$384</x:f>
        <x:v>20301</x:v>
      </x:c>
      <x:c r="E377" s="8" t="n">
        <x:f>'Source'!$AH$384</x:f>
        <x:v>1201</x:v>
      </x:c>
      <x:c r="F377" s="8" t="n">
        <x:f>D377-E377</x:f>
        <x:v>19100</x:v>
      </x:c>
      <x:c r="G377" s="8" t="n">
        <x:f>SUM('Source'!$Z$384,'Source'!$AB$384,'Source'!$AD$384,'Source'!$AF$384)</x:f>
        <x:v>8907</x:v>
      </x:c>
      <x:c r="H377" s="8" t="n">
        <x:f>'Source'!$AF$384</x:f>
        <x:v>4815</x:v>
      </x:c>
      <x:c r="I377" s="9" t="n">
        <x:f>IF(F377=0,"n.a.",G377/F377)</x:f>
        <x:v>0.4663350785340314</x:v>
      </x:c>
      <x:c r="J377" s="9" t="n">
        <x:f>IF(F377=0,"n.a.",H377/F377)</x:f>
        <x:v>0.2520942408376963</x:v>
      </x:c>
      <x:c r="K377" s="9" t="n">
        <x:f>IF(D377=0,"n.a.",E377/D377)</x:f>
        <x:v>0.05915964730801438</x:v>
      </x:c>
    </x:row>
    <x:row r="378" ht="22" customHeight="1">
      <x:c r="A378" s="6" t="str">
        <x:f>'Source'!$C$385</x:f>
        <x:v>Watertown-Fort Drum, NY Metro Area</x:v>
      </x:c>
      <x:c r="B378" s="6" t="str">
        <x:f>'Source'!$B$385</x:f>
        <x:v>48060</x:v>
      </x:c>
      <x:c r="C378" s="7" t="n">
        <x:f>'Source'!$D$385</x:f>
        <x:v>2024</x:v>
      </x:c>
      <x:c r="D378" s="8" t="n">
        <x:f>'Source'!$N$385</x:f>
        <x:v>19978</x:v>
      </x:c>
      <x:c r="E378" s="8" t="n">
        <x:f>'Source'!$AH$385</x:f>
        <x:v>1353</x:v>
      </x:c>
      <x:c r="F378" s="8" t="n">
        <x:f>D378-E378</x:f>
        <x:v>18625</x:v>
      </x:c>
      <x:c r="G378" s="8" t="n">
        <x:f>SUM('Source'!$Z$385,'Source'!$AB$385,'Source'!$AD$385,'Source'!$AF$385)</x:f>
        <x:v>9164</x:v>
      </x:c>
      <x:c r="H378" s="8" t="n">
        <x:f>'Source'!$AF$385</x:f>
        <x:v>5642</x:v>
      </x:c>
      <x:c r="I378" s="9" t="n">
        <x:f>IF(F378=0,"n.a.",G378/F378)</x:f>
        <x:v>0.49202684563758387</x:v>
      </x:c>
      <x:c r="J378" s="9" t="n">
        <x:f>IF(F378=0,"n.a.",H378/F378)</x:f>
        <x:v>0.3029261744966443</x:v>
      </x:c>
      <x:c r="K378" s="9" t="n">
        <x:f>IF(D378=0,"n.a.",E378/D378)</x:f>
        <x:v>0.0677244969466413</x:v>
      </x:c>
    </x:row>
    <x:row r="379" ht="22" customHeight="1">
      <x:c r="A379" s="6" t="str">
        <x:f>'Source'!$C$386</x:f>
        <x:v>Wausau, WI Metro Area</x:v>
      </x:c>
      <x:c r="B379" s="6" t="str">
        <x:f>'Source'!$B$386</x:f>
        <x:v>48140</x:v>
      </x:c>
      <x:c r="C379" s="7" t="n">
        <x:f>'Source'!$D$386</x:f>
        <x:v>2024</x:v>
      </x:c>
      <x:c r="D379" s="8" t="n">
        <x:f>'Source'!$N$386</x:f>
        <x:v>15506</x:v>
      </x:c>
      <x:c r="E379" s="8" t="n">
        <x:f>'Source'!$AH$386</x:f>
        <x:v>1444</x:v>
      </x:c>
      <x:c r="F379" s="8" t="n">
        <x:f>D379-E379</x:f>
        <x:v>14062</x:v>
      </x:c>
      <x:c r="G379" s="8" t="n">
        <x:f>SUM('Source'!$Z$386,'Source'!$AB$386,'Source'!$AD$386,'Source'!$AF$386)</x:f>
        <x:v>4957</x:v>
      </x:c>
      <x:c r="H379" s="8" t="n">
        <x:f>'Source'!$AF$386</x:f>
        <x:v>1869</x:v>
      </x:c>
      <x:c r="I379" s="9" t="n">
        <x:f>IF(F379=0,"n.a.",G379/F379)</x:f>
        <x:v>0.3525103114777414</x:v>
      </x:c>
      <x:c r="J379" s="9" t="n">
        <x:f>IF(F379=0,"n.a.",H379/F379)</x:f>
        <x:v>0.13291139240506328</x:v>
      </x:c>
      <x:c r="K379" s="9" t="n">
        <x:f>IF(D379=0,"n.a.",E379/D379)</x:f>
        <x:v>0.09312524184186767</x:v>
      </x:c>
    </x:row>
    <x:row r="380" ht="22" customHeight="1">
      <x:c r="A380" s="6" t="str">
        <x:f>'Source'!$C$387</x:f>
        <x:v>Weirton-Steubenville, WV-OH Metro Area</x:v>
      </x:c>
      <x:c r="B380" s="6" t="str">
        <x:f>'Source'!$B$387</x:f>
        <x:v>48260</x:v>
      </x:c>
      <x:c r="C380" s="7" t="n">
        <x:f>'Source'!$D$387</x:f>
        <x:v>2024</x:v>
      </x:c>
      <x:c r="D380" s="8" t="n">
        <x:f>'Source'!$N$387</x:f>
        <x:v>13734</x:v>
      </x:c>
      <x:c r="E380" s="8" t="n">
        <x:f>'Source'!$AH$387</x:f>
        <x:v>2695</x:v>
      </x:c>
      <x:c r="F380" s="8" t="n">
        <x:f>D380-E380</x:f>
        <x:v>11039</x:v>
      </x:c>
      <x:c r="G380" s="8" t="n">
        <x:f>SUM('Source'!$Z$387,'Source'!$AB$387,'Source'!$AD$387,'Source'!$AF$387)</x:f>
        <x:v>4173</x:v>
      </x:c>
      <x:c r="H380" s="8" t="n">
        <x:f>'Source'!$AF$387</x:f>
        <x:v>1122</x:v>
      </x:c>
      <x:c r="I380" s="9" t="n">
        <x:f>IF(F380=0,"n.a.",G380/F380)</x:f>
        <x:v>0.3780233716822176</x:v>
      </x:c>
      <x:c r="J380" s="9" t="n">
        <x:f>IF(F380=0,"n.a.",H380/F380)</x:f>
        <x:v>0.10163964127185433</x:v>
      </x:c>
      <x:c r="K380" s="9" t="n">
        <x:f>IF(D380=0,"n.a.",E380/D380)</x:f>
        <x:v>0.1962283384301733</x:v>
      </x:c>
    </x:row>
    <x:row r="381" ht="22" customHeight="1">
      <x:c r="A381" s="6" t="str">
        <x:f>'Source'!$C$388</x:f>
        <x:v>Wenatchee-East Wenatchee, WA Metro Area</x:v>
      </x:c>
      <x:c r="B381" s="6" t="str">
        <x:f>'Source'!$B$388</x:f>
        <x:v>48300</x:v>
      </x:c>
      <x:c r="C381" s="7" t="n">
        <x:f>'Source'!$D$388</x:f>
        <x:v>2024</x:v>
      </x:c>
      <x:c r="D381" s="8" t="n">
        <x:f>'Source'!$N$388</x:f>
        <x:v>14620</x:v>
      </x:c>
      <x:c r="E381" s="8" t="n">
        <x:f>'Source'!$AH$388</x:f>
        <x:v>1997</x:v>
      </x:c>
      <x:c r="F381" s="8" t="n">
        <x:f>D381-E381</x:f>
        <x:v>12623</x:v>
      </x:c>
      <x:c r="G381" s="8" t="n">
        <x:f>SUM('Source'!$Z$388,'Source'!$AB$388,'Source'!$AD$388,'Source'!$AF$388)</x:f>
        <x:v>6089</x:v>
      </x:c>
      <x:c r="H381" s="8" t="n">
        <x:f>'Source'!$AF$388</x:f>
        <x:v>3009</x:v>
      </x:c>
      <x:c r="I381" s="9" t="n">
        <x:f>IF(F381=0,"n.a.",G381/F381)</x:f>
        <x:v>0.4823734452982651</x:v>
      </x:c>
      <x:c r="J381" s="9" t="n">
        <x:f>IF(F381=0,"n.a.",H381/F381)</x:f>
        <x:v>0.2383743959439119</x:v>
      </x:c>
      <x:c r="K381" s="9" t="n">
        <x:f>IF(D381=0,"n.a.",E381/D381)</x:f>
        <x:v>0.136593707250342</x:v>
      </x:c>
    </x:row>
    <x:row r="382" ht="22" customHeight="1">
      <x:c r="A382" s="6" t="str">
        <x:f>'Source'!$C$389</x:f>
        <x:v>Wheeling, WV-OH Metro Area</x:v>
      </x:c>
      <x:c r="B382" s="6" t="str">
        <x:f>'Source'!$B$389</x:f>
        <x:v>48540</x:v>
      </x:c>
      <x:c r="C382" s="7" t="n">
        <x:f>'Source'!$D$389</x:f>
        <x:v>2024</x:v>
      </x:c>
      <x:c r="D382" s="8" t="n">
        <x:f>'Source'!$N$389</x:f>
        <x:v>16470</x:v>
      </x:c>
      <x:c r="E382" s="8" t="n">
        <x:f>'Source'!$AH$389</x:f>
        <x:v>2522</x:v>
      </x:c>
      <x:c r="F382" s="8" t="n">
        <x:f>D382-E382</x:f>
        <x:v>13948</x:v>
      </x:c>
      <x:c r="G382" s="8" t="n">
        <x:f>SUM('Source'!$Z$389,'Source'!$AB$389,'Source'!$AD$389,'Source'!$AF$389)</x:f>
        <x:v>6268</x:v>
      </x:c>
      <x:c r="H382" s="8" t="n">
        <x:f>'Source'!$AF$389</x:f>
        <x:v>3337</x:v>
      </x:c>
      <x:c r="I382" s="9" t="n">
        <x:f>IF(F382=0,"n.a.",G382/F382)</x:f>
        <x:v>0.4493834241468311</x:v>
      </x:c>
      <x:c r="J382" s="9" t="n">
        <x:f>IF(F382=0,"n.a.",H382/F382)</x:f>
        <x:v>0.23924577000286779</x:v>
      </x:c>
      <x:c r="K382" s="9" t="n">
        <x:f>IF(D382=0,"n.a.",E382/D382)</x:f>
        <x:v>0.15312689738919247</x:v>
      </x:c>
    </x:row>
    <x:row r="383" ht="22" customHeight="1">
      <x:c r="A383" s="6" t="str">
        <x:f>'Source'!$C$390</x:f>
        <x:v>Wichita Falls, TX Metro Area</x:v>
      </x:c>
      <x:c r="B383" s="6" t="str">
        <x:f>'Source'!$B$390</x:f>
        <x:v>48660</x:v>
      </x:c>
      <x:c r="C383" s="7" t="n">
        <x:f>'Source'!$D$390</x:f>
        <x:v>2024</x:v>
      </x:c>
      <x:c r="D383" s="8" t="n">
        <x:f>'Source'!$N$390</x:f>
        <x:v>20676</x:v>
      </x:c>
      <x:c r="E383" s="8" t="n">
        <x:f>'Source'!$AH$390</x:f>
        <x:v>2235</x:v>
      </x:c>
      <x:c r="F383" s="8" t="n">
        <x:f>D383-E383</x:f>
        <x:v>18441</x:v>
      </x:c>
      <x:c r="G383" s="8" t="n">
        <x:f>SUM('Source'!$Z$390,'Source'!$AB$390,'Source'!$AD$390,'Source'!$AF$390)</x:f>
        <x:v>8746</x:v>
      </x:c>
      <x:c r="H383" s="8" t="n">
        <x:f>'Source'!$AF$390</x:f>
        <x:v>4078</x:v>
      </x:c>
      <x:c r="I383" s="9" t="n">
        <x:f>IF(F383=0,"n.a.",G383/F383)</x:f>
        <x:v>0.47426929125318584</x:v>
      </x:c>
      <x:c r="J383" s="9" t="n">
        <x:f>IF(F383=0,"n.a.",H383/F383)</x:f>
        <x:v>0.221137682338268</x:v>
      </x:c>
      <x:c r="K383" s="9" t="n">
        <x:f>IF(D383=0,"n.a.",E383/D383)</x:f>
        <x:v>0.10809634358676727</x:v>
      </x:c>
    </x:row>
    <x:row r="384" ht="22" customHeight="1">
      <x:c r="A384" s="6" t="str">
        <x:f>'Source'!$C$391</x:f>
        <x:v>Wichita, KS Metro Area</x:v>
      </x:c>
      <x:c r="B384" s="6" t="str">
        <x:f>'Source'!$B$391</x:f>
        <x:v>48620</x:v>
      </x:c>
      <x:c r="C384" s="7" t="n">
        <x:f>'Source'!$D$391</x:f>
        <x:v>2024</x:v>
      </x:c>
      <x:c r="D384" s="8" t="n">
        <x:f>'Source'!$N$391</x:f>
        <x:v>87089</x:v>
      </x:c>
      <x:c r="E384" s="8" t="n">
        <x:f>'Source'!$AH$391</x:f>
        <x:v>7098</x:v>
      </x:c>
      <x:c r="F384" s="8" t="n">
        <x:f>D384-E384</x:f>
        <x:v>79991</x:v>
      </x:c>
      <x:c r="G384" s="8" t="n">
        <x:f>SUM('Source'!$Z$391,'Source'!$AB$391,'Source'!$AD$391,'Source'!$AF$391)</x:f>
        <x:v>34348</x:v>
      </x:c>
      <x:c r="H384" s="8" t="n">
        <x:f>'Source'!$AF$391</x:f>
        <x:v>15840</x:v>
      </x:c>
      <x:c r="I384" s="9" t="n">
        <x:f>IF(F384=0,"n.a.",G384/F384)</x:f>
        <x:v>0.42939830730957235</x:v>
      </x:c>
      <x:c r="J384" s="9" t="n">
        <x:f>IF(F384=0,"n.a.",H384/F384)</x:f>
        <x:v>0.19802227750621945</x:v>
      </x:c>
      <x:c r="K384" s="9" t="n">
        <x:f>IF(D384=0,"n.a.",E384/D384)</x:f>
        <x:v>0.08150283043782797</x:v>
      </x:c>
    </x:row>
    <x:row r="385" ht="22" customHeight="1">
      <x:c r="A385" s="6" t="str">
        <x:f>'Source'!$C$392</x:f>
        <x:v>Wildwood-The Villages, FL Metro Area</x:v>
      </x:c>
      <x:c r="B385" s="6" t="str">
        <x:f>'Source'!$B$392</x:f>
        <x:v>48680</x:v>
      </x:c>
      <x:c r="C385" s="7" t="n">
        <x:f>'Source'!$D$392</x:f>
        <x:v>2024</x:v>
      </x:c>
      <x:c r="D385" s="8" t="n">
        <x:f>'Source'!$N$392</x:f>
        <x:v>11636</x:v>
      </x:c>
      <x:c r="E385" s="8" t="n">
        <x:f>'Source'!$AH$392</x:f>
        <x:v>3155</x:v>
      </x:c>
      <x:c r="F385" s="8" t="n">
        <x:f>D385-E385</x:f>
        <x:v>8481</x:v>
      </x:c>
      <x:c r="G385" s="8" t="n">
        <x:f>SUM('Source'!$Z$392,'Source'!$AB$392,'Source'!$AD$392,'Source'!$AF$392)</x:f>
        <x:v>5367</x:v>
      </x:c>
      <x:c r="H385" s="8" t="n">
        <x:f>'Source'!$AF$392</x:f>
        <x:v>3576</x:v>
      </x:c>
      <x:c r="I385" s="9" t="n">
        <x:f>IF(F385=0,"n.a.",G385/F385)</x:f>
        <x:v>0.6328263176512203</x:v>
      </x:c>
      <x:c r="J385" s="9" t="n">
        <x:f>IF(F385=0,"n.a.",H385/F385)</x:f>
        <x:v>0.42164839051998587</x:v>
      </x:c>
      <x:c r="K385" s="9" t="n">
        <x:f>IF(D385=0,"n.a.",E385/D385)</x:f>
        <x:v>0.27114128566517703</x:v>
      </x:c>
    </x:row>
    <x:row r="386" ht="22" customHeight="1">
      <x:c r="A386" s="6" t="str">
        <x:f>'Source'!$C$393</x:f>
        <x:v>Williamsport, PA Metro Area</x:v>
      </x:c>
      <x:c r="B386" s="6" t="str">
        <x:f>'Source'!$B$393</x:f>
        <x:v>48700</x:v>
      </x:c>
      <x:c r="C386" s="7" t="n">
        <x:f>'Source'!$D$393</x:f>
        <x:v>2024</x:v>
      </x:c>
      <x:c r="D386" s="8" t="n">
        <x:f>'Source'!$N$393</x:f>
        <x:v>14700</x:v>
      </x:c>
      <x:c r="E386" s="8" t="n">
        <x:f>'Source'!$AH$393</x:f>
        <x:v>1715</x:v>
      </x:c>
      <x:c r="F386" s="8" t="n">
        <x:f>D386-E386</x:f>
        <x:v>12985</x:v>
      </x:c>
      <x:c r="G386" s="8" t="n">
        <x:f>SUM('Source'!$Z$393,'Source'!$AB$393,'Source'!$AD$393,'Source'!$AF$393)</x:f>
        <x:v>6922</x:v>
      </x:c>
      <x:c r="H386" s="8" t="n">
        <x:f>'Source'!$AF$393</x:f>
        <x:v>4282</x:v>
      </x:c>
      <x:c r="I386" s="9" t="n">
        <x:f>IF(F386=0,"n.a.",G386/F386)</x:f>
        <x:v>0.533076626877166</x:v>
      </x:c>
      <x:c r="J386" s="9" t="n">
        <x:f>IF(F386=0,"n.a.",H386/F386)</x:f>
        <x:v>0.32976511359260685</x:v>
      </x:c>
      <x:c r="K386" s="9" t="n">
        <x:f>IF(D386=0,"n.a.",E386/D386)</x:f>
        <x:v>0.11666666666666667</x:v>
      </x:c>
    </x:row>
    <x:row r="387" ht="22" customHeight="1">
      <x:c r="A387" s="6" t="str">
        <x:f>'Source'!$C$394</x:f>
        <x:v>Wilmington, NC Metro Area</x:v>
      </x:c>
      <x:c r="B387" s="6" t="str">
        <x:f>'Source'!$B$394</x:f>
        <x:v>48900</x:v>
      </x:c>
      <x:c r="C387" s="7" t="n">
        <x:f>'Source'!$D$394</x:f>
        <x:v>2024</x:v>
      </x:c>
      <x:c r="D387" s="8" t="n">
        <x:f>'Source'!$N$394</x:f>
        <x:v>54320</x:v>
      </x:c>
      <x:c r="E387" s="8" t="n">
        <x:f>'Source'!$AH$394</x:f>
        <x:v>2877</x:v>
      </x:c>
      <x:c r="F387" s="8" t="n">
        <x:f>D387-E387</x:f>
        <x:v>51443</x:v>
      </x:c>
      <x:c r="G387" s="8" t="n">
        <x:f>SUM('Source'!$Z$394,'Source'!$AB$394,'Source'!$AD$394,'Source'!$AF$394)</x:f>
        <x:v>29232</x:v>
      </x:c>
      <x:c r="H387" s="8" t="n">
        <x:f>'Source'!$AF$394</x:f>
        <x:v>16194</x:v>
      </x:c>
      <x:c r="I387" s="9" t="n">
        <x:f>IF(F387=0,"n.a.",G387/F387)</x:f>
        <x:v>0.5682405769492448</x:v>
      </x:c>
      <x:c r="J387" s="9" t="n">
        <x:f>IF(F387=0,"n.a.",H387/F387)</x:f>
        <x:v>0.31479501584277747</x:v>
      </x:c>
      <x:c r="K387" s="9" t="n">
        <x:f>IF(D387=0,"n.a.",E387/D387)</x:f>
        <x:v>0.052963917525773195</x:v>
      </x:c>
    </x:row>
    <x:row r="388" ht="22" customHeight="1">
      <x:c r="A388" s="6" t="str">
        <x:f>'Source'!$C$395</x:f>
        <x:v>Winchester, VA-WV Metro Area</x:v>
      </x:c>
      <x:c r="B388" s="6" t="str">
        <x:f>'Source'!$B$395</x:f>
        <x:v>49020</x:v>
      </x:c>
      <x:c r="C388" s="7" t="n">
        <x:f>'Source'!$D$395</x:f>
        <x:v>2024</x:v>
      </x:c>
      <x:c r="D388" s="8" t="n">
        <x:f>'Source'!$N$395</x:f>
        <x:v>14165</x:v>
      </x:c>
      <x:c r="E388" s="8" t="n">
        <x:f>'Source'!$AH$395</x:f>
        <x:v>863</x:v>
      </x:c>
      <x:c r="F388" s="8" t="n">
        <x:f>D388-E388</x:f>
        <x:v>13302</x:v>
      </x:c>
      <x:c r="G388" s="8" t="n">
        <x:f>SUM('Source'!$Z$395,'Source'!$AB$395,'Source'!$AD$395,'Source'!$AF$395)</x:f>
        <x:v>6384</x:v>
      </x:c>
      <x:c r="H388" s="8" t="n">
        <x:f>'Source'!$AF$395</x:f>
        <x:v>2406</x:v>
      </x:c>
      <x:c r="I388" s="9" t="n">
        <x:f>IF(F388=0,"n.a.",G388/F388)</x:f>
        <x:v>0.4799278304014434</x:v>
      </x:c>
      <x:c r="J388" s="9" t="n">
        <x:f>IF(F388=0,"n.a.",H388/F388)</x:f>
        <x:v>0.18087505638249887</x:v>
      </x:c>
      <x:c r="K388" s="9" t="n">
        <x:f>IF(D388=0,"n.a.",E388/D388)</x:f>
        <x:v>0.06092481468408048</x:v>
      </x:c>
    </x:row>
    <x:row r="389" ht="22" customHeight="1">
      <x:c r="A389" s="6" t="str">
        <x:f>'Source'!$C$396</x:f>
        <x:v>Winston-Salem, NC Metro Area</x:v>
      </x:c>
      <x:c r="B389" s="6" t="str">
        <x:f>'Source'!$B$396</x:f>
        <x:v>49180</x:v>
      </x:c>
      <x:c r="C389" s="7" t="n">
        <x:f>'Source'!$D$396</x:f>
        <x:v>2024</x:v>
      </x:c>
      <x:c r="D389" s="8" t="n">
        <x:f>'Source'!$N$396</x:f>
        <x:v>89226</x:v>
      </x:c>
      <x:c r="E389" s="8" t="n">
        <x:f>'Source'!$AH$396</x:f>
        <x:v>7495</x:v>
      </x:c>
      <x:c r="F389" s="8" t="n">
        <x:f>D389-E389</x:f>
        <x:v>81731</x:v>
      </x:c>
      <x:c r="G389" s="8" t="n">
        <x:f>SUM('Source'!$Z$396,'Source'!$AB$396,'Source'!$AD$396,'Source'!$AF$396)</x:f>
        <x:v>46048</x:v>
      </x:c>
      <x:c r="H389" s="8" t="n">
        <x:f>'Source'!$AF$396</x:f>
        <x:v>23371</x:v>
      </x:c>
      <x:c r="I389" s="9" t="n">
        <x:f>IF(F389=0,"n.a.",G389/F389)</x:f>
        <x:v>0.5634092327268723</x:v>
      </x:c>
      <x:c r="J389" s="9" t="n">
        <x:f>IF(F389=0,"n.a.",H389/F389)</x:f>
        <x:v>0.2859502514345842</x:v>
      </x:c>
      <x:c r="K389" s="9" t="n">
        <x:f>IF(D389=0,"n.a.",E389/D389)</x:f>
        <x:v>0.08400017931992917</x:v>
      </x:c>
    </x:row>
    <x:row r="390" ht="22" customHeight="1">
      <x:c r="A390" s="6" t="str">
        <x:f>'Source'!$C$397</x:f>
        <x:v>Worcester, MA Metro Area</x:v>
      </x:c>
      <x:c r="B390" s="6" t="str">
        <x:f>'Source'!$B$397</x:f>
        <x:v>49340</x:v>
      </x:c>
      <x:c r="C390" s="7" t="n">
        <x:f>'Source'!$D$397</x:f>
        <x:v>2024</x:v>
      </x:c>
      <x:c r="D390" s="8" t="n">
        <x:f>'Source'!$N$397</x:f>
        <x:v>117632</x:v>
      </x:c>
      <x:c r="E390" s="8" t="n">
        <x:f>'Source'!$AH$397</x:f>
        <x:v>5715</x:v>
      </x:c>
      <x:c r="F390" s="8" t="n">
        <x:f>D390-E390</x:f>
        <x:v>111917</x:v>
      </x:c>
      <x:c r="G390" s="8" t="n">
        <x:f>SUM('Source'!$Z$397,'Source'!$AB$397,'Source'!$AD$397,'Source'!$AF$397)</x:f>
        <x:v>59907</x:v>
      </x:c>
      <x:c r="H390" s="8" t="n">
        <x:f>'Source'!$AF$397</x:f>
        <x:v>31043</x:v>
      </x:c>
      <x:c r="I390" s="9" t="n">
        <x:f>IF(F390=0,"n.a.",G390/F390)</x:f>
        <x:v>0.5352806097375734</x:v>
      </x:c>
      <x:c r="J390" s="9" t="n">
        <x:f>IF(F390=0,"n.a.",H390/F390)</x:f>
        <x:v>0.2773751976911461</x:v>
      </x:c>
      <x:c r="K390" s="9" t="n">
        <x:f>IF(D390=0,"n.a.",E390/D390)</x:f>
        <x:v>0.04858371871599565</x:v>
      </x:c>
    </x:row>
    <x:row r="391" ht="22" customHeight="1">
      <x:c r="A391" s="6" t="str">
        <x:f>'Source'!$C$398</x:f>
        <x:v>Yakima, WA Metro Area</x:v>
      </x:c>
      <x:c r="B391" s="6" t="str">
        <x:f>'Source'!$B$398</x:f>
        <x:v>49420</x:v>
      </x:c>
      <x:c r="C391" s="7" t="n">
        <x:f>'Source'!$D$398</x:f>
        <x:v>2024</x:v>
      </x:c>
      <x:c r="D391" s="8" t="n">
        <x:f>'Source'!$N$398</x:f>
        <x:v>36421</x:v>
      </x:c>
      <x:c r="E391" s="8" t="n">
        <x:f>'Source'!$AH$398</x:f>
        <x:v>3876</x:v>
      </x:c>
      <x:c r="F391" s="8" t="n">
        <x:f>D391-E391</x:f>
        <x:v>32545</x:v>
      </x:c>
      <x:c r="G391" s="8" t="n">
        <x:f>SUM('Source'!$Z$398,'Source'!$AB$398,'Source'!$AD$398,'Source'!$AF$398)</x:f>
        <x:v>13045</x:v>
      </x:c>
      <x:c r="H391" s="8" t="n">
        <x:f>'Source'!$AF$398</x:f>
        <x:v>6377</x:v>
      </x:c>
      <x:c r="I391" s="9" t="n">
        <x:f>IF(F391=0,"n.a.",G391/F391)</x:f>
        <x:v>0.4008296205254263</x:v>
      </x:c>
      <x:c r="J391" s="9" t="n">
        <x:f>IF(F391=0,"n.a.",H391/F391)</x:f>
        <x:v>0.19594407743124903</x:v>
      </x:c>
      <x:c r="K391" s="9" t="n">
        <x:f>IF(D391=0,"n.a.",E391/D391)</x:f>
        <x:v>0.10642211910710854</x:v>
      </x:c>
    </x:row>
    <x:row r="392" ht="22" customHeight="1">
      <x:c r="A392" s="6" t="str">
        <x:f>'Source'!$C$399</x:f>
        <x:v>York-Hanover, PA Metro Area</x:v>
      </x:c>
      <x:c r="B392" s="6" t="str">
        <x:f>'Source'!$B$399</x:f>
        <x:v>49620</x:v>
      </x:c>
      <x:c r="C392" s="7" t="n">
        <x:f>'Source'!$D$399</x:f>
        <x:v>2024</x:v>
      </x:c>
      <x:c r="D392" s="8" t="n">
        <x:f>'Source'!$N$399</x:f>
        <x:v>43685</x:v>
      </x:c>
      <x:c r="E392" s="8" t="n">
        <x:f>'Source'!$AH$399</x:f>
        <x:v>1950</x:v>
      </x:c>
      <x:c r="F392" s="8" t="n">
        <x:f>D392-E392</x:f>
        <x:v>41735</x:v>
      </x:c>
      <x:c r="G392" s="8" t="n">
        <x:f>SUM('Source'!$Z$399,'Source'!$AB$399,'Source'!$AD$399,'Source'!$AF$399)</x:f>
        <x:v>21979</x:v>
      </x:c>
      <x:c r="H392" s="8" t="n">
        <x:f>'Source'!$AF$399</x:f>
        <x:v>8865</x:v>
      </x:c>
      <x:c r="I392" s="9" t="n">
        <x:f>IF(F392=0,"n.a.",G392/F392)</x:f>
        <x:v>0.5266323229902959</x:v>
      </x:c>
      <x:c r="J392" s="9" t="n">
        <x:f>IF(F392=0,"n.a.",H392/F392)</x:f>
        <x:v>0.21241164490236014</x:v>
      </x:c>
      <x:c r="K392" s="9" t="n">
        <x:f>IF(D392=0,"n.a.",E392/D392)</x:f>
        <x:v>0.04463774751058716</x:v>
      </x:c>
    </x:row>
    <x:row r="393" ht="22" customHeight="1">
      <x:c r="A393" s="6" t="str">
        <x:f>'Source'!$C$400</x:f>
        <x:v>Youngstown-Warren, OH Metro Area</x:v>
      </x:c>
      <x:c r="B393" s="6" t="str">
        <x:f>'Source'!$B$400</x:f>
        <x:v>49660</x:v>
      </x:c>
      <x:c r="C393" s="7" t="n">
        <x:f>'Source'!$D$400</x:f>
        <x:v>2024</x:v>
      </x:c>
      <x:c r="D393" s="8" t="n">
        <x:f>'Source'!$N$400</x:f>
        <x:v>54576</x:v>
      </x:c>
      <x:c r="E393" s="8" t="n">
        <x:f>'Source'!$AH$400</x:f>
        <x:v>5223</x:v>
      </x:c>
      <x:c r="F393" s="8" t="n">
        <x:f>D393-E393</x:f>
        <x:v>49353</x:v>
      </x:c>
      <x:c r="G393" s="8" t="n">
        <x:f>SUM('Source'!$Z$400,'Source'!$AB$400,'Source'!$AD$400,'Source'!$AF$400)</x:f>
        <x:v>25847</x:v>
      </x:c>
      <x:c r="H393" s="8" t="n">
        <x:f>'Source'!$AF$400</x:f>
        <x:v>13078</x:v>
      </x:c>
      <x:c r="I393" s="9" t="n">
        <x:f>IF(F393=0,"n.a.",G393/F393)</x:f>
        <x:v>0.5237168966425546</x:v>
      </x:c>
      <x:c r="J393" s="9" t="n">
        <x:f>IF(F393=0,"n.a.",H393/F393)</x:f>
        <x:v>0.2649889571049379</x:v>
      </x:c>
      <x:c r="K393" s="9" t="n">
        <x:f>IF(D393=0,"n.a.",E393/D393)</x:f>
        <x:v>0.0957014072119613</x:v>
      </x:c>
    </x:row>
    <x:row r="394" ht="22" customHeight="1">
      <x:c r="A394" s="6" t="str">
        <x:f>'Source'!$C$401</x:f>
        <x:v>Yuba City, CA Metro Area</x:v>
      </x:c>
      <x:c r="B394" s="6" t="str">
        <x:f>'Source'!$B$401</x:f>
        <x:v>49700</x:v>
      </x:c>
      <x:c r="C394" s="7" t="n">
        <x:f>'Source'!$D$401</x:f>
        <x:v>2024</x:v>
      </x:c>
      <x:c r="D394" s="8" t="n">
        <x:f>'Source'!$N$401</x:f>
        <x:v>21141</x:v>
      </x:c>
      <x:c r="E394" s="8" t="n">
        <x:f>'Source'!$AH$401</x:f>
        <x:v>2598</x:v>
      </x:c>
      <x:c r="F394" s="8" t="n">
        <x:f>D394-E394</x:f>
        <x:v>18543</x:v>
      </x:c>
      <x:c r="G394" s="8" t="n">
        <x:f>SUM('Source'!$Z$401,'Source'!$AB$401,'Source'!$AD$401,'Source'!$AF$401)</x:f>
        <x:v>9696</x:v>
      </x:c>
      <x:c r="H394" s="8" t="n">
        <x:f>'Source'!$AF$401</x:f>
        <x:v>5136</x:v>
      </x:c>
      <x:c r="I394" s="9" t="n">
        <x:f>IF(F394=0,"n.a.",G394/F394)</x:f>
        <x:v>0.5228927358032681</x:v>
      </x:c>
      <x:c r="J394" s="9" t="n">
        <x:f>IF(F394=0,"n.a.",H394/F394)</x:f>
        <x:v>0.2769778353017311</x:v>
      </x:c>
      <x:c r="K394" s="9" t="n">
        <x:f>IF(D394=0,"n.a.",E394/D394)</x:f>
        <x:v>0.12288917269760181</x:v>
      </x:c>
    </x:row>
    <x:row r="395" ht="22" customHeight="1">
      <x:c r="A395" s="6" t="str">
        <x:f>'Source'!$C$402</x:f>
        <x:v>Yuma, AZ Metro Area</x:v>
      </x:c>
      <x:c r="B395" s="6" t="str">
        <x:f>'Source'!$B$402</x:f>
        <x:v>49740</x:v>
      </x:c>
      <x:c r="C395" s="7" t="n">
        <x:f>'Source'!$D$402</x:f>
        <x:v>2024</x:v>
      </x:c>
      <x:c r="D395" s="8" t="n">
        <x:f>'Source'!$N$402</x:f>
        <x:v>22582</x:v>
      </x:c>
      <x:c r="E395" s="8" t="n">
        <x:f>'Source'!$AH$402</x:f>
        <x:v>3894</x:v>
      </x:c>
      <x:c r="F395" s="8" t="n">
        <x:f>D395-E395</x:f>
        <x:v>18688</x:v>
      </x:c>
      <x:c r="G395" s="8" t="n">
        <x:f>SUM('Source'!$Z$402,'Source'!$AB$402,'Source'!$AD$402,'Source'!$AF$402)</x:f>
        <x:v>8075</x:v>
      </x:c>
      <x:c r="H395" s="8" t="n">
        <x:f>'Source'!$AF$402</x:f>
        <x:v>4107</x:v>
      </x:c>
      <x:c r="I395" s="9" t="n">
        <x:f>IF(F395=0,"n.a.",G395/F395)</x:f>
        <x:v>0.4320954623287671</x:v>
      </x:c>
      <x:c r="J395" s="9" t="n">
        <x:f>IF(F395=0,"n.a.",H395/F395)</x:f>
        <x:v>0.21976669520547945</x:v>
      </x:c>
      <x:c r="K395" s="9" t="n">
        <x:f>IF(D395=0,"n.a.",E395/D395)</x:f>
        <x:v>0.17243822513506332</x:v>
      </x:c>
    </x:row>
  </x:sheetData>
  <x:pageMargins left="0.7" right="0.7" top="0.75" bottom="0.75" header="0.3" footer="0.3"/>
  <x:tableParts count="1">
    <x:tablePart xmlns:r="http://schemas.openxmlformats.org/officeDocument/2006/relationships" r:id="Rb80d92aac1154c89"/>
  </x:tableParts>
</x:worksheet>
</file>

<file path=xl/worksheets/sheet2.xml><?xml version="1.0" encoding="utf-8"?>
<x:worksheet xmlns:x="http://schemas.openxmlformats.org/spreadsheetml/2006/main">
  <x:sheetPr>
    <x:tabColor rgb="FFA9DCD3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6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2" customHeight="1">
      <x:c r="A2" s="2" t="str">
        <x:v>Source and method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2" customHeight="1">
      <x:c r="A3" s="1" t="str">
        <x:v>ACS 2024 1-year detailed table B25070. Historical snapshot. No automatic refresh.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2" customHeight="1">
      <x:c r="A4" s="1" t="str">
        <x:v>Universe: renter-occupied housing units. Gross rent includes rent and separately renter-paid utilities/fuels.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22" customHeight="1">
      <x:c r="A5" s="1" t="str">
        <x:v>Computable units = E001 - E011. 30%+ = E007 + E008 + E009 + E010. 50%+ = E010.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2" customHeight="1">
      <x:c r="A6" s="1" t="str">
        <x:v>Shares use computable units. Not-computed share uses E001. Zero denominators show n.a., not zero.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2" customHeight="1">
      <x:c r="A7" s="1" t="str">
        <x:v>Whole metros in 50 states/DC. Micropolitan and Puerto Rico metros excluded. Coverage differs from the 393-metro study.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2" customHeight="1">
      <x:c r="A8" s="1" t="str">
        <x:v>All 11 published estimate/MOE pairs are retained below. Derived percentage MOEs are not calculated.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2" customHeight="1">
      <x:c r="A9" s="1" t="str">
        <x:v>Input columns retain CSV names and percent values on a 0–100 scale. Metros formulas display shares as percentages.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2" customHeight="1">
      <x:c r="A10" s="1" t="str">
        <x:v>Source: https://data.census.gov/table/ACSDT1Y2024.B25070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2" customHeight="1">
      <x:c r="A11" s="1" t="str">
        <x:v>Raw files and method: https://github.com/ahmadreza-smdi/metro-rent-burden/tree/v1.0.0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2" customHeight="1">
      <x:c r="A12" s="1" t="str">
        <x:v>Cite: Ahmadreza Samadi, ACS 2024 metro rent-burden analysis, v1.0.0, plus Census table B25070.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2" customHeight="1">
      <x:c r="A13" s="1" t="str">
        <x:v>Code MIT. Federal source statistics retain Census reuse conditions and third-party/foreign-country exceptions.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2" customHeight="1">
      <x:c r="A14" s="1" t="str">
        <x:v>No Census endorsement or certification. Educational, not financial advice.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2" customHeight="1">
      <x:c r="A15" s="1" t="str">
        <x:v>CSV SHA-256: 3f4f802c00efda62f2166cf0f6cfef99d0046becda55ba35c9563c232d84821f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40" customHeight="1">
      <x:c r="A16" s="14" t="str">
        <x:v>geo_id</x:v>
      </x:c>
      <x:c r="B16" s="14" t="str">
        <x:v>cbsa_code</x:v>
      </x:c>
      <x:c r="C16" s="14" t="str">
        <x:v>metro_name</x:v>
      </x:c>
      <x:c r="D16" s="14" t="str">
        <x:v>survey_year</x:v>
      </x:c>
      <x:c r="E16" s="14" t="str">
        <x:v>status</x:v>
      </x:c>
      <x:c r="F16" s="14" t="str">
        <x:v>renter_units_total</x:v>
      </x:c>
      <x:c r="G16" s="14" t="str">
        <x:v>not_computed_units</x:v>
      </x:c>
      <x:c r="H16" s="14" t="str">
        <x:v>computable_units</x:v>
      </x:c>
      <x:c r="I16" s="14" t="str">
        <x:v>rent_30plus_units</x:v>
      </x:c>
      <x:c r="J16" s="14" t="str">
        <x:v>rent_50plus_units</x:v>
      </x:c>
      <x:c r="K16" s="14" t="str">
        <x:v>rent_30plus_pct</x:v>
      </x:c>
      <x:c r="L16" s="14" t="str">
        <x:v>rent_50plus_pct</x:v>
      </x:c>
      <x:c r="M16" s="14" t="str">
        <x:v>not_computed_pct_all_renters</x:v>
      </x:c>
      <x:c r="N16" s="14" t="str">
        <x:v>B25070_E001</x:v>
      </x:c>
      <x:c r="O16" s="14" t="str">
        <x:v>B25070_M001</x:v>
      </x:c>
      <x:c r="P16" s="14" t="str">
        <x:v>B25070_E002</x:v>
      </x:c>
      <x:c r="Q16" s="14" t="str">
        <x:v>B25070_M002</x:v>
      </x:c>
      <x:c r="R16" s="14" t="str">
        <x:v>B25070_E003</x:v>
      </x:c>
      <x:c r="S16" s="14" t="str">
        <x:v>B25070_M003</x:v>
      </x:c>
      <x:c r="T16" s="14" t="str">
        <x:v>B25070_E004</x:v>
      </x:c>
      <x:c r="U16" s="14" t="str">
        <x:v>B25070_M004</x:v>
      </x:c>
      <x:c r="V16" s="14" t="str">
        <x:v>B25070_E005</x:v>
      </x:c>
      <x:c r="W16" s="14" t="str">
        <x:v>B25070_M005</x:v>
      </x:c>
      <x:c r="X16" s="14" t="str">
        <x:v>B25070_E006</x:v>
      </x:c>
      <x:c r="Y16" s="14" t="str">
        <x:v>B25070_M006</x:v>
      </x:c>
      <x:c r="Z16" s="14" t="str">
        <x:v>B25070_E007</x:v>
      </x:c>
      <x:c r="AA16" s="14" t="str">
        <x:v>B25070_M007</x:v>
      </x:c>
      <x:c r="AB16" s="14" t="str">
        <x:v>B25070_E008</x:v>
      </x:c>
      <x:c r="AC16" s="14" t="str">
        <x:v>B25070_M008</x:v>
      </x:c>
      <x:c r="AD16" s="14" t="str">
        <x:v>B25070_E009</x:v>
      </x:c>
      <x:c r="AE16" s="14" t="str">
        <x:v>B25070_M009</x:v>
      </x:c>
      <x:c r="AF16" s="14" t="str">
        <x:v>B25070_E010</x:v>
      </x:c>
      <x:c r="AG16" s="14" t="str">
        <x:v>B25070_M010</x:v>
      </x:c>
      <x:c r="AH16" s="14" t="str">
        <x:v>B25070_E011</x:v>
      </x:c>
      <x:c r="AI16" s="14" t="str">
        <x:v>B25070_M011</x:v>
      </x:c>
    </x:row>
    <x:row r="17" ht="22" customHeight="1">
      <x:c r="A17" s="1" t="str">
        <x:v>310M700US10180</x:v>
      </x:c>
      <x:c r="B17" s="1" t="str">
        <x:v>10180</x:v>
      </x:c>
      <x:c r="C17" s="1" t="str">
        <x:v>Abilene, TX Metro Area</x:v>
      </x:c>
      <x:c r="D17" s="5" t="n">
        <x:v>2024</x:v>
      </x:c>
      <x:c r="E17" s="1" t="str">
        <x:v>ok</x:v>
      </x:c>
      <x:c r="F17" s="15" t="n">
        <x:v>23433</x:v>
      </x:c>
      <x:c r="G17" s="15" t="n">
        <x:v>2591</x:v>
      </x:c>
      <x:c r="H17" s="15" t="n">
        <x:v>20842</x:v>
      </x:c>
      <x:c r="I17" s="15" t="n">
        <x:v>12055</x:v>
      </x:c>
      <x:c r="J17" s="15" t="n">
        <x:v>5688</x:v>
      </x:c>
      <x:c r="K17" s="15" t="n">
        <x:v>57.839939</x:v>
      </x:c>
      <x:c r="L17" s="15" t="n">
        <x:v>27.291047</x:v>
      </x:c>
      <x:c r="M17" s="15" t="n">
        <x:v>11.057056</x:v>
      </x:c>
      <x:c r="N17" s="15" t="n">
        <x:v>23433</x:v>
      </x:c>
      <x:c r="O17" s="15" t="n">
        <x:v>2344</x:v>
      </x:c>
      <x:c r="P17" s="15" t="n">
        <x:v>910</x:v>
      </x:c>
      <x:c r="Q17" s="15" t="n">
        <x:v>431</x:v>
      </x:c>
      <x:c r="R17" s="15" t="n">
        <x:v>805</x:v>
      </x:c>
      <x:c r="S17" s="15" t="n">
        <x:v>487</x:v>
      </x:c>
      <x:c r="T17" s="15" t="n">
        <x:v>2070</x:v>
      </x:c>
      <x:c r="U17" s="15" t="n">
        <x:v>733</x:v>
      </x:c>
      <x:c r="V17" s="15" t="n">
        <x:v>2923</x:v>
      </x:c>
      <x:c r="W17" s="15" t="n">
        <x:v>1101</x:v>
      </x:c>
      <x:c r="X17" s="15" t="n">
        <x:v>2079</x:v>
      </x:c>
      <x:c r="Y17" s="15" t="n">
        <x:v>943</x:v>
      </x:c>
      <x:c r="Z17" s="15" t="n">
        <x:v>3479</x:v>
      </x:c>
      <x:c r="AA17" s="15" t="n">
        <x:v>1231</x:v>
      </x:c>
      <x:c r="AB17" s="15" t="n">
        <x:v>814</x:v>
      </x:c>
      <x:c r="AC17" s="15" t="n">
        <x:v>456</x:v>
      </x:c>
      <x:c r="AD17" s="15" t="n">
        <x:v>2074</x:v>
      </x:c>
      <x:c r="AE17" s="15" t="n">
        <x:v>913</x:v>
      </x:c>
      <x:c r="AF17" s="15" t="n">
        <x:v>5688</x:v>
      </x:c>
      <x:c r="AG17" s="15" t="n">
        <x:v>1345</x:v>
      </x:c>
      <x:c r="AH17" s="15" t="n">
        <x:v>2591</x:v>
      </x:c>
      <x:c r="AI17" s="15" t="n">
        <x:v>1180</x:v>
      </x:c>
    </x:row>
    <x:row r="18" ht="22" customHeight="1">
      <x:c r="A18" s="1" t="str">
        <x:v>310M700US10420</x:v>
      </x:c>
      <x:c r="B18" s="1" t="str">
        <x:v>10420</x:v>
      </x:c>
      <x:c r="C18" s="1" t="str">
        <x:v>Akron, OH Metro Area</x:v>
      </x:c>
      <x:c r="D18" s="5" t="n">
        <x:v>2024</x:v>
      </x:c>
      <x:c r="E18" s="1" t="str">
        <x:v>ok</x:v>
      </x:c>
      <x:c r="F18" s="15" t="n">
        <x:v>96296</x:v>
      </x:c>
      <x:c r="G18" s="15" t="n">
        <x:v>5939</x:v>
      </x:c>
      <x:c r="H18" s="15" t="n">
        <x:v>90357</x:v>
      </x:c>
      <x:c r="I18" s="15" t="n">
        <x:v>43847</x:v>
      </x:c>
      <x:c r="J18" s="15" t="n">
        <x:v>25261</x:v>
      </x:c>
      <x:c r="K18" s="15" t="n">
        <x:v>48.526401</x:v>
      </x:c>
      <x:c r="L18" s="15" t="n">
        <x:v>27.956882</x:v>
      </x:c>
      <x:c r="M18" s="15" t="n">
        <x:v>6.167442</x:v>
      </x:c>
      <x:c r="N18" s="15" t="n">
        <x:v>96296</x:v>
      </x:c>
      <x:c r="O18" s="15" t="n">
        <x:v>4264</x:v>
      </x:c>
      <x:c r="P18" s="15" t="n">
        <x:v>3310</x:v>
      </x:c>
      <x:c r="Q18" s="15" t="n">
        <x:v>1031</x:v>
      </x:c>
      <x:c r="R18" s="15" t="n">
        <x:v>8741</x:v>
      </x:c>
      <x:c r="S18" s="15" t="n">
        <x:v>1994</x:v>
      </x:c>
      <x:c r="T18" s="15" t="n">
        <x:v>13158</x:v>
      </x:c>
      <x:c r="U18" s="15" t="n">
        <x:v>2177</x:v>
      </x:c>
      <x:c r="V18" s="15" t="n">
        <x:v>11444</x:v>
      </x:c>
      <x:c r="W18" s="15" t="n">
        <x:v>2202</x:v>
      </x:c>
      <x:c r="X18" s="15" t="n">
        <x:v>9857</x:v>
      </x:c>
      <x:c r="Y18" s="15" t="n">
        <x:v>2194</x:v>
      </x:c>
      <x:c r="Z18" s="15" t="n">
        <x:v>7581</x:v>
      </x:c>
      <x:c r="AA18" s="15" t="n">
        <x:v>1580</x:v>
      </x:c>
      <x:c r="AB18" s="15" t="n">
        <x:v>5036</x:v>
      </x:c>
      <x:c r="AC18" s="15" t="n">
        <x:v>1297</x:v>
      </x:c>
      <x:c r="AD18" s="15" t="n">
        <x:v>5969</x:v>
      </x:c>
      <x:c r="AE18" s="15" t="n">
        <x:v>1399</x:v>
      </x:c>
      <x:c r="AF18" s="15" t="n">
        <x:v>25261</x:v>
      </x:c>
      <x:c r="AG18" s="15" t="n">
        <x:v>3729</x:v>
      </x:c>
      <x:c r="AH18" s="15" t="n">
        <x:v>5939</x:v>
      </x:c>
      <x:c r="AI18" s="15" t="n">
        <x:v>1484</x:v>
      </x:c>
    </x:row>
    <x:row r="19" ht="22" customHeight="1">
      <x:c r="A19" s="1" t="str">
        <x:v>310M700US10500</x:v>
      </x:c>
      <x:c r="B19" s="1" t="str">
        <x:v>10500</x:v>
      </x:c>
      <x:c r="C19" s="1" t="str">
        <x:v>Albany, GA Metro Area</x:v>
      </x:c>
      <x:c r="D19" s="5" t="n">
        <x:v>2024</x:v>
      </x:c>
      <x:c r="E19" s="1" t="str">
        <x:v>ok</x:v>
      </x:c>
      <x:c r="F19" s="15" t="n">
        <x:v>25931</x:v>
      </x:c>
      <x:c r="G19" s="15" t="n">
        <x:v>2590</x:v>
      </x:c>
      <x:c r="H19" s="15" t="n">
        <x:v>23341</x:v>
      </x:c>
      <x:c r="I19" s="15" t="n">
        <x:v>11703</x:v>
      </x:c>
      <x:c r="J19" s="15" t="n">
        <x:v>6674</x:v>
      </x:c>
      <x:c r="K19" s="15" t="n">
        <x:v>50.13924</x:v>
      </x:c>
      <x:c r="L19" s="15" t="n">
        <x:v>28.593462</x:v>
      </x:c>
      <x:c r="M19" s="15" t="n">
        <x:v>9.988045</x:v>
      </x:c>
      <x:c r="N19" s="15" t="n">
        <x:v>25931</x:v>
      </x:c>
      <x:c r="O19" s="15" t="n">
        <x:v>2119</x:v>
      </x:c>
      <x:c r="P19" s="15" t="n">
        <x:v>1067</x:v>
      </x:c>
      <x:c r="Q19" s="15" t="n">
        <x:v>694</x:v>
      </x:c>
      <x:c r="R19" s="15" t="n">
        <x:v>2350</x:v>
      </x:c>
      <x:c r="S19" s="15" t="n">
        <x:v>945</x:v>
      </x:c>
      <x:c r="T19" s="15" t="n">
        <x:v>2784</x:v>
      </x:c>
      <x:c r="U19" s="15" t="n">
        <x:v>986</x:v>
      </x:c>
      <x:c r="V19" s="15" t="n">
        <x:v>2130</x:v>
      </x:c>
      <x:c r="W19" s="15" t="n">
        <x:v>958</x:v>
      </x:c>
      <x:c r="X19" s="15" t="n">
        <x:v>3307</x:v>
      </x:c>
      <x:c r="Y19" s="15" t="n">
        <x:v>1010</x:v>
      </x:c>
      <x:c r="Z19" s="15" t="n">
        <x:v>2393</x:v>
      </x:c>
      <x:c r="AA19" s="15" t="n">
        <x:v>1016</x:v>
      </x:c>
      <x:c r="AB19" s="15" t="n">
        <x:v>896</x:v>
      </x:c>
      <x:c r="AC19" s="15" t="n">
        <x:v>462</x:v>
      </x:c>
      <x:c r="AD19" s="15" t="n">
        <x:v>1740</x:v>
      </x:c>
      <x:c r="AE19" s="15" t="n">
        <x:v>739</x:v>
      </x:c>
      <x:c r="AF19" s="15" t="n">
        <x:v>6674</x:v>
      </x:c>
      <x:c r="AG19" s="15" t="n">
        <x:v>1506</x:v>
      </x:c>
      <x:c r="AH19" s="15" t="n">
        <x:v>2590</x:v>
      </x:c>
      <x:c r="AI19" s="15" t="n">
        <x:v>937</x:v>
      </x:c>
    </x:row>
    <x:row r="20" ht="22" customHeight="1">
      <x:c r="A20" s="1" t="str">
        <x:v>310M700US10540</x:v>
      </x:c>
      <x:c r="B20" s="1" t="str">
        <x:v>10540</x:v>
      </x:c>
      <x:c r="C20" s="1" t="str">
        <x:v>Albany, OR Metro Area</x:v>
      </x:c>
      <x:c r="D20" s="5" t="n">
        <x:v>2024</x:v>
      </x:c>
      <x:c r="E20" s="1" t="str">
        <x:v>ok</x:v>
      </x:c>
      <x:c r="F20" s="15" t="n">
        <x:v>16930</x:v>
      </x:c>
      <x:c r="G20" s="15" t="n">
        <x:v>1138</x:v>
      </x:c>
      <x:c r="H20" s="15" t="n">
        <x:v>15792</x:v>
      </x:c>
      <x:c r="I20" s="15" t="n">
        <x:v>8245</x:v>
      </x:c>
      <x:c r="J20" s="15" t="n">
        <x:v>4829</x:v>
      </x:c>
      <x:c r="K20" s="15" t="n">
        <x:v>52.20998</x:v>
      </x:c>
      <x:c r="L20" s="15" t="n">
        <x:v>30.578774</x:v>
      </x:c>
      <x:c r="M20" s="15" t="n">
        <x:v>6.721796</x:v>
      </x:c>
      <x:c r="N20" s="15" t="n">
        <x:v>16930</x:v>
      </x:c>
      <x:c r="O20" s="15" t="n">
        <x:v>1858</x:v>
      </x:c>
      <x:c r="P20" s="15" t="n">
        <x:v>250</x:v>
      </x:c>
      <x:c r="Q20" s="15" t="n">
        <x:v>187</x:v>
      </x:c>
      <x:c r="R20" s="15" t="n">
        <x:v>1208</x:v>
      </x:c>
      <x:c r="S20" s="15" t="n">
        <x:v>774</x:v>
      </x:c>
      <x:c r="T20" s="15" t="n">
        <x:v>1794</x:v>
      </x:c>
      <x:c r="U20" s="15" t="n">
        <x:v>847</x:v>
      </x:c>
      <x:c r="V20" s="15" t="n">
        <x:v>1448</x:v>
      </x:c>
      <x:c r="W20" s="15" t="n">
        <x:v>758</x:v>
      </x:c>
      <x:c r="X20" s="15" t="n">
        <x:v>2847</x:v>
      </x:c>
      <x:c r="Y20" s="15" t="n">
        <x:v>921</x:v>
      </x:c>
      <x:c r="Z20" s="15" t="n">
        <x:v>539</x:v>
      </x:c>
      <x:c r="AA20" s="15" t="n">
        <x:v>406</x:v>
      </x:c>
      <x:c r="AB20" s="15" t="n">
        <x:v>769</x:v>
      </x:c>
      <x:c r="AC20" s="15" t="n">
        <x:v>456</x:v>
      </x:c>
      <x:c r="AD20" s="15" t="n">
        <x:v>2108</x:v>
      </x:c>
      <x:c r="AE20" s="15" t="n">
        <x:v>881</x:v>
      </x:c>
      <x:c r="AF20" s="15" t="n">
        <x:v>4829</x:v>
      </x:c>
      <x:c r="AG20" s="15" t="n">
        <x:v>1192</x:v>
      </x:c>
      <x:c r="AH20" s="15" t="n">
        <x:v>1138</x:v>
      </x:c>
      <x:c r="AI20" s="15" t="n">
        <x:v>775</x:v>
      </x:c>
    </x:row>
    <x:row r="21" ht="22" customHeight="1">
      <x:c r="A21" s="1" t="str">
        <x:v>310M700US10580</x:v>
      </x:c>
      <x:c r="B21" s="1" t="str">
        <x:v>10580</x:v>
      </x:c>
      <x:c r="C21" s="1" t="str">
        <x:v>Albany-Schenectady-Troy, NY Metro Area</x:v>
      </x:c>
      <x:c r="D21" s="5" t="n">
        <x:v>2024</x:v>
      </x:c>
      <x:c r="E21" s="1" t="str">
        <x:v>ok</x:v>
      </x:c>
      <x:c r="F21" s="15" t="n">
        <x:v>143444</x:v>
      </x:c>
      <x:c r="G21" s="15" t="n">
        <x:v>6995</x:v>
      </x:c>
      <x:c r="H21" s="15" t="n">
        <x:v>136449</x:v>
      </x:c>
      <x:c r="I21" s="15" t="n">
        <x:v>67545</x:v>
      </x:c>
      <x:c r="J21" s="15" t="n">
        <x:v>36445</x:v>
      </x:c>
      <x:c r="K21" s="15" t="n">
        <x:v>49.502012</x:v>
      </x:c>
      <x:c r="L21" s="15" t="n">
        <x:v>26.709613</x:v>
      </x:c>
      <x:c r="M21" s="15" t="n">
        <x:v>4.876467</x:v>
      </x:c>
      <x:c r="N21" s="15" t="n">
        <x:v>143444</x:v>
      </x:c>
      <x:c r="O21" s="15" t="n">
        <x:v>4885</x:v>
      </x:c>
      <x:c r="P21" s="15" t="n">
        <x:v>5427</x:v>
      </x:c>
      <x:c r="Q21" s="15" t="n">
        <x:v>1424</x:v>
      </x:c>
      <x:c r="R21" s="15" t="n">
        <x:v>13134</x:v>
      </x:c>
      <x:c r="S21" s="15" t="n">
        <x:v>2345</x:v>
      </x:c>
      <x:c r="T21" s="15" t="n">
        <x:v>19114</x:v>
      </x:c>
      <x:c r="U21" s="15" t="n">
        <x:v>2362</x:v>
      </x:c>
      <x:c r="V21" s="15" t="n">
        <x:v>16428</x:v>
      </x:c>
      <x:c r="W21" s="15" t="n">
        <x:v>2484</x:v>
      </x:c>
      <x:c r="X21" s="15" t="n">
        <x:v>14801</x:v>
      </x:c>
      <x:c r="Y21" s="15" t="n">
        <x:v>2388</x:v>
      </x:c>
      <x:c r="Z21" s="15" t="n">
        <x:v>12556</x:v>
      </x:c>
      <x:c r="AA21" s="15" t="n">
        <x:v>2269</x:v>
      </x:c>
      <x:c r="AB21" s="15" t="n">
        <x:v>7137</x:v>
      </x:c>
      <x:c r="AC21" s="15" t="n">
        <x:v>1664</x:v>
      </x:c>
      <x:c r="AD21" s="15" t="n">
        <x:v>11407</x:v>
      </x:c>
      <x:c r="AE21" s="15" t="n">
        <x:v>2161</x:v>
      </x:c>
      <x:c r="AF21" s="15" t="n">
        <x:v>36445</x:v>
      </x:c>
      <x:c r="AG21" s="15" t="n">
        <x:v>3711</x:v>
      </x:c>
      <x:c r="AH21" s="15" t="n">
        <x:v>6995</x:v>
      </x:c>
      <x:c r="AI21" s="15" t="n">
        <x:v>1907</x:v>
      </x:c>
    </x:row>
    <x:row r="22" ht="22" customHeight="1">
      <x:c r="A22" s="1" t="str">
        <x:v>310M700US10740</x:v>
      </x:c>
      <x:c r="B22" s="1" t="str">
        <x:v>10740</x:v>
      </x:c>
      <x:c r="C22" s="1" t="str">
        <x:v>Albuquerque, NM Metro Area</x:v>
      </x:c>
      <x:c r="D22" s="5" t="n">
        <x:v>2024</x:v>
      </x:c>
      <x:c r="E22" s="1" t="str">
        <x:v>ok</x:v>
      </x:c>
      <x:c r="F22" s="15" t="n">
        <x:v>113910</x:v>
      </x:c>
      <x:c r="G22" s="15" t="n">
        <x:v>6528</x:v>
      </x:c>
      <x:c r="H22" s="15" t="n">
        <x:v>107382</x:v>
      </x:c>
      <x:c r="I22" s="15" t="n">
        <x:v>52411</x:v>
      </x:c>
      <x:c r="J22" s="15" t="n">
        <x:v>27985</x:v>
      </x:c>
      <x:c r="K22" s="15" t="n">
        <x:v>48.807994</x:v>
      </x:c>
      <x:c r="L22" s="15" t="n">
        <x:v>26.061165</x:v>
      </x:c>
      <x:c r="M22" s="15" t="n">
        <x:v>5.73084</x:v>
      </x:c>
      <x:c r="N22" s="15" t="n">
        <x:v>113910</x:v>
      </x:c>
      <x:c r="O22" s="15" t="n">
        <x:v>4761</x:v>
      </x:c>
      <x:c r="P22" s="15" t="n">
        <x:v>6414</x:v>
      </x:c>
      <x:c r="Q22" s="15" t="n">
        <x:v>1799</x:v>
      </x:c>
      <x:c r="R22" s="15" t="n">
        <x:v>9677</x:v>
      </x:c>
      <x:c r="S22" s="15" t="n">
        <x:v>2233</x:v>
      </x:c>
      <x:c r="T22" s="15" t="n">
        <x:v>15244</x:v>
      </x:c>
      <x:c r="U22" s="15" t="n">
        <x:v>2790</x:v>
      </x:c>
      <x:c r="V22" s="15" t="n">
        <x:v>13048</x:v>
      </x:c>
      <x:c r="W22" s="15" t="n">
        <x:v>2214</x:v>
      </x:c>
      <x:c r="X22" s="15" t="n">
        <x:v>10588</x:v>
      </x:c>
      <x:c r="Y22" s="15" t="n">
        <x:v>2128</x:v>
      </x:c>
      <x:c r="Z22" s="15" t="n">
        <x:v>8679</x:v>
      </x:c>
      <x:c r="AA22" s="15" t="n">
        <x:v>1939</x:v>
      </x:c>
      <x:c r="AB22" s="15" t="n">
        <x:v>8055</x:v>
      </x:c>
      <x:c r="AC22" s="15" t="n">
        <x:v>1834</x:v>
      </x:c>
      <x:c r="AD22" s="15" t="n">
        <x:v>7692</x:v>
      </x:c>
      <x:c r="AE22" s="15" t="n">
        <x:v>1792</x:v>
      </x:c>
      <x:c r="AF22" s="15" t="n">
        <x:v>27985</x:v>
      </x:c>
      <x:c r="AG22" s="15" t="n">
        <x:v>3498</x:v>
      </x:c>
      <x:c r="AH22" s="15" t="n">
        <x:v>6528</x:v>
      </x:c>
      <x:c r="AI22" s="15" t="n">
        <x:v>1365</x:v>
      </x:c>
    </x:row>
    <x:row r="23" ht="22" customHeight="1">
      <x:c r="A23" s="1" t="str">
        <x:v>310M700US10780</x:v>
      </x:c>
      <x:c r="B23" s="1" t="str">
        <x:v>10780</x:v>
      </x:c>
      <x:c r="C23" s="1" t="str">
        <x:v>Alexandria, LA Metro Area</x:v>
      </x:c>
      <x:c r="D23" s="5" t="n">
        <x:v>2024</x:v>
      </x:c>
      <x:c r="E23" s="1" t="str">
        <x:v>ok</x:v>
      </x:c>
      <x:c r="F23" s="15" t="n">
        <x:v>19073</x:v>
      </x:c>
      <x:c r="G23" s="15" t="n">
        <x:v>3387</x:v>
      </x:c>
      <x:c r="H23" s="15" t="n">
        <x:v>15686</x:v>
      </x:c>
      <x:c r="I23" s="15" t="n">
        <x:v>8155</x:v>
      </x:c>
      <x:c r="J23" s="15" t="n">
        <x:v>3633</x:v>
      </x:c>
      <x:c r="K23" s="15" t="n">
        <x:v>51.989035</x:v>
      </x:c>
      <x:c r="L23" s="15" t="n">
        <x:v>23.16078</x:v>
      </x:c>
      <x:c r="M23" s="15" t="n">
        <x:v>17.758087</x:v>
      </x:c>
      <x:c r="N23" s="15" t="n">
        <x:v>19073</x:v>
      </x:c>
      <x:c r="O23" s="15" t="n">
        <x:v>2520</x:v>
      </x:c>
      <x:c r="P23" s="15" t="n">
        <x:v>408</x:v>
      </x:c>
      <x:c r="Q23" s="15" t="n">
        <x:v>296</x:v>
      </x:c>
      <x:c r="R23" s="15" t="n">
        <x:v>1200</x:v>
      </x:c>
      <x:c r="S23" s="15" t="n">
        <x:v>559</x:v>
      </x:c>
      <x:c r="T23" s="15" t="n">
        <x:v>2217</x:v>
      </x:c>
      <x:c r="U23" s="15" t="n">
        <x:v>1125</x:v>
      </x:c>
      <x:c r="V23" s="15" t="n">
        <x:v>2260</x:v>
      </x:c>
      <x:c r="W23" s="15" t="n">
        <x:v>1020</x:v>
      </x:c>
      <x:c r="X23" s="15" t="n">
        <x:v>1446</x:v>
      </x:c>
      <x:c r="Y23" s="15" t="n">
        <x:v>644</x:v>
      </x:c>
      <x:c r="Z23" s="15" t="n">
        <x:v>1141</x:v>
      </x:c>
      <x:c r="AA23" s="15" t="n">
        <x:v>637</x:v>
      </x:c>
      <x:c r="AB23" s="15" t="n">
        <x:v>1720</x:v>
      </x:c>
      <x:c r="AC23" s="15" t="n">
        <x:v>993</x:v>
      </x:c>
      <x:c r="AD23" s="15" t="n">
        <x:v>1661</x:v>
      </x:c>
      <x:c r="AE23" s="15" t="n">
        <x:v>883</x:v>
      </x:c>
      <x:c r="AF23" s="15" t="n">
        <x:v>3633</x:v>
      </x:c>
      <x:c r="AG23" s="15" t="n">
        <x:v>1110</x:v>
      </x:c>
      <x:c r="AH23" s="15" t="n">
        <x:v>3387</x:v>
      </x:c>
      <x:c r="AI23" s="15" t="n">
        <x:v>1076</x:v>
      </x:c>
    </x:row>
    <x:row r="24" ht="22" customHeight="1">
      <x:c r="A24" s="1" t="str">
        <x:v>310M700US10900</x:v>
      </x:c>
      <x:c r="B24" s="1" t="str">
        <x:v>10900</x:v>
      </x:c>
      <x:c r="C24" s="1" t="str">
        <x:v>Allentown-Bethlehem-Easton, PA-NJ Metro Area</x:v>
      </x:c>
      <x:c r="D24" s="5" t="n">
        <x:v>2024</x:v>
      </x:c>
      <x:c r="E24" s="1" t="str">
        <x:v>ok</x:v>
      </x:c>
      <x:c r="F24" s="15" t="n">
        <x:v>103084</x:v>
      </x:c>
      <x:c r="G24" s="15" t="n">
        <x:v>4935</x:v>
      </x:c>
      <x:c r="H24" s="15" t="n">
        <x:v>98149</x:v>
      </x:c>
      <x:c r="I24" s="15" t="n">
        <x:v>53291</x:v>
      </x:c>
      <x:c r="J24" s="15" t="n">
        <x:v>25573</x:v>
      </x:c>
      <x:c r="K24" s="15" t="n">
        <x:v>54.296019</x:v>
      </x:c>
      <x:c r="L24" s="15" t="n">
        <x:v>26.055283</x:v>
      </x:c>
      <x:c r="M24" s="15" t="n">
        <x:v>4.787358</x:v>
      </x:c>
      <x:c r="N24" s="15" t="n">
        <x:v>103084</x:v>
      </x:c>
      <x:c r="O24" s="15" t="n">
        <x:v>4851</x:v>
      </x:c>
      <x:c r="P24" s="15" t="n">
        <x:v>3524</x:v>
      </x:c>
      <x:c r="Q24" s="15" t="n">
        <x:v>1181</x:v>
      </x:c>
      <x:c r="R24" s="15" t="n">
        <x:v>5874</x:v>
      </x:c>
      <x:c r="S24" s="15" t="n">
        <x:v>1344</x:v>
      </x:c>
      <x:c r="T24" s="15" t="n">
        <x:v>12358</x:v>
      </x:c>
      <x:c r="U24" s="15" t="n">
        <x:v>2146</x:v>
      </x:c>
      <x:c r="V24" s="15" t="n">
        <x:v>11811</x:v>
      </x:c>
      <x:c r="W24" s="15" t="n">
        <x:v>2093</x:v>
      </x:c>
      <x:c r="X24" s="15" t="n">
        <x:v>11291</x:v>
      </x:c>
      <x:c r="Y24" s="15" t="n">
        <x:v>2231</x:v>
      </x:c>
      <x:c r="Z24" s="15" t="n">
        <x:v>10235</x:v>
      </x:c>
      <x:c r="AA24" s="15" t="n">
        <x:v>2127</x:v>
      </x:c>
      <x:c r="AB24" s="15" t="n">
        <x:v>7913</x:v>
      </x:c>
      <x:c r="AC24" s="15" t="n">
        <x:v>2124</x:v>
      </x:c>
      <x:c r="AD24" s="15" t="n">
        <x:v>9570</x:v>
      </x:c>
      <x:c r="AE24" s="15" t="n">
        <x:v>2024</x:v>
      </x:c>
      <x:c r="AF24" s="15" t="n">
        <x:v>25573</x:v>
      </x:c>
      <x:c r="AG24" s="15" t="n">
        <x:v>2717</x:v>
      </x:c>
      <x:c r="AH24" s="15" t="n">
        <x:v>4935</x:v>
      </x:c>
      <x:c r="AI24" s="15" t="n">
        <x:v>1228</x:v>
      </x:c>
    </x:row>
    <x:row r="25" ht="22" customHeight="1">
      <x:c r="A25" s="1" t="str">
        <x:v>310M700US11020</x:v>
      </x:c>
      <x:c r="B25" s="1" t="str">
        <x:v>11020</x:v>
      </x:c>
      <x:c r="C25" s="1" t="str">
        <x:v>Altoona, PA Metro Area</x:v>
      </x:c>
      <x:c r="D25" s="5" t="n">
        <x:v>2024</x:v>
      </x:c>
      <x:c r="E25" s="1" t="str">
        <x:v>ok</x:v>
      </x:c>
      <x:c r="F25" s="15" t="n">
        <x:v>14298</x:v>
      </x:c>
      <x:c r="G25" s="15" t="n">
        <x:v>910</x:v>
      </x:c>
      <x:c r="H25" s="15" t="n">
        <x:v>13388</x:v>
      </x:c>
      <x:c r="I25" s="15" t="n">
        <x:v>6031</x:v>
      </x:c>
      <x:c r="J25" s="15" t="n">
        <x:v>2782</x:v>
      </x:c>
      <x:c r="K25" s="15" t="n">
        <x:v>45.047804</x:v>
      </x:c>
      <x:c r="L25" s="15" t="n">
        <x:v>20.779803</x:v>
      </x:c>
      <x:c r="M25" s="15" t="n">
        <x:v>6.364527</x:v>
      </x:c>
      <x:c r="N25" s="15" t="n">
        <x:v>14298</x:v>
      </x:c>
      <x:c r="O25" s="15" t="n">
        <x:v>1465</x:v>
      </x:c>
      <x:c r="P25" s="15" t="n">
        <x:v>964</x:v>
      </x:c>
      <x:c r="Q25" s="15" t="n">
        <x:v>465</x:v>
      </x:c>
      <x:c r="R25" s="15" t="n">
        <x:v>1203</x:v>
      </x:c>
      <x:c r="S25" s="15" t="n">
        <x:v>535</x:v>
      </x:c>
      <x:c r="T25" s="15" t="n">
        <x:v>1896</x:v>
      </x:c>
      <x:c r="U25" s="15" t="n">
        <x:v>726</x:v>
      </x:c>
      <x:c r="V25" s="15" t="n">
        <x:v>1545</x:v>
      </x:c>
      <x:c r="W25" s="15" t="n">
        <x:v>588</x:v>
      </x:c>
      <x:c r="X25" s="15" t="n">
        <x:v>1749</x:v>
      </x:c>
      <x:c r="Y25" s="15" t="n">
        <x:v>634</x:v>
      </x:c>
      <x:c r="Z25" s="15" t="n">
        <x:v>1285</x:v>
      </x:c>
      <x:c r="AA25" s="15" t="n">
        <x:v>457</x:v>
      </x:c>
      <x:c r="AB25" s="15" t="n">
        <x:v>1016</x:v>
      </x:c>
      <x:c r="AC25" s="15" t="n">
        <x:v>450</x:v>
      </x:c>
      <x:c r="AD25" s="15" t="n">
        <x:v>948</x:v>
      </x:c>
      <x:c r="AE25" s="15" t="n">
        <x:v>511</x:v>
      </x:c>
      <x:c r="AF25" s="15" t="n">
        <x:v>2782</x:v>
      </x:c>
      <x:c r="AG25" s="15" t="n">
        <x:v>632</x:v>
      </x:c>
      <x:c r="AH25" s="15" t="n">
        <x:v>910</x:v>
      </x:c>
      <x:c r="AI25" s="15" t="n">
        <x:v>331</x:v>
      </x:c>
    </x:row>
    <x:row r="26" ht="22" customHeight="1">
      <x:c r="A26" s="1" t="str">
        <x:v>310M700US11100</x:v>
      </x:c>
      <x:c r="B26" s="1" t="str">
        <x:v>11100</x:v>
      </x:c>
      <x:c r="C26" s="1" t="str">
        <x:v>Amarillo, TX Metro Area</x:v>
      </x:c>
      <x:c r="D26" s="5" t="n">
        <x:v>2024</x:v>
      </x:c>
      <x:c r="E26" s="1" t="str">
        <x:v>ok</x:v>
      </x:c>
      <x:c r="F26" s="15" t="n">
        <x:v>40464</x:v>
      </x:c>
      <x:c r="G26" s="15" t="n">
        <x:v>2549</x:v>
      </x:c>
      <x:c r="H26" s="15" t="n">
        <x:v>37915</x:v>
      </x:c>
      <x:c r="I26" s="15" t="n">
        <x:v>19135</x:v>
      </x:c>
      <x:c r="J26" s="15" t="n">
        <x:v>8907</x:v>
      </x:c>
      <x:c r="K26" s="15" t="n">
        <x:v>50.468152</x:v>
      </x:c>
      <x:c r="L26" s="15" t="n">
        <x:v>23.492022</x:v>
      </x:c>
      <x:c r="M26" s="15" t="n">
        <x:v>6.299427</x:v>
      </x:c>
      <x:c r="N26" s="15" t="n">
        <x:v>40464</x:v>
      </x:c>
      <x:c r="O26" s="15" t="n">
        <x:v>2943</x:v>
      </x:c>
      <x:c r="P26" s="15" t="n">
        <x:v>700</x:v>
      </x:c>
      <x:c r="Q26" s="15" t="n">
        <x:v>476</x:v>
      </x:c>
      <x:c r="R26" s="15" t="n">
        <x:v>5525</x:v>
      </x:c>
      <x:c r="S26" s="15" t="n">
        <x:v>1509</x:v>
      </x:c>
      <x:c r="T26" s="15" t="n">
        <x:v>5012</x:v>
      </x:c>
      <x:c r="U26" s="15" t="n">
        <x:v>1215</x:v>
      </x:c>
      <x:c r="V26" s="15" t="n">
        <x:v>5158</x:v>
      </x:c>
      <x:c r="W26" s="15" t="n">
        <x:v>1638</x:v>
      </x:c>
      <x:c r="X26" s="15" t="n">
        <x:v>2385</x:v>
      </x:c>
      <x:c r="Y26" s="15" t="n">
        <x:v>1022</x:v>
      </x:c>
      <x:c r="Z26" s="15" t="n">
        <x:v>5350</x:v>
      </x:c>
      <x:c r="AA26" s="15" t="n">
        <x:v>1626</x:v>
      </x:c>
      <x:c r="AB26" s="15" t="n">
        <x:v>2221</x:v>
      </x:c>
      <x:c r="AC26" s="15" t="n">
        <x:v>1013</x:v>
      </x:c>
      <x:c r="AD26" s="15" t="n">
        <x:v>2657</x:v>
      </x:c>
      <x:c r="AE26" s="15" t="n">
        <x:v>975</x:v>
      </x:c>
      <x:c r="AF26" s="15" t="n">
        <x:v>8907</x:v>
      </x:c>
      <x:c r="AG26" s="15" t="n">
        <x:v>2161</x:v>
      </x:c>
      <x:c r="AH26" s="15" t="n">
        <x:v>2549</x:v>
      </x:c>
      <x:c r="AI26" s="15" t="n">
        <x:v>933</x:v>
      </x:c>
    </x:row>
    <x:row r="27" ht="22" customHeight="1">
      <x:c r="A27" s="1" t="str">
        <x:v>310M700US11180</x:v>
      </x:c>
      <x:c r="B27" s="1" t="str">
        <x:v>11180</x:v>
      </x:c>
      <x:c r="C27" s="1" t="str">
        <x:v>Ames, IA Metro Area</x:v>
      </x:c>
      <x:c r="D27" s="5" t="n">
        <x:v>2024</x:v>
      </x:c>
      <x:c r="E27" s="1" t="str">
        <x:v>ok</x:v>
      </x:c>
      <x:c r="F27" s="15" t="n">
        <x:v>21101</x:v>
      </x:c>
      <x:c r="G27" s="15" t="n">
        <x:v>830</x:v>
      </x:c>
      <x:c r="H27" s="15" t="n">
        <x:v>20271</x:v>
      </x:c>
      <x:c r="I27" s="15" t="n">
        <x:v>8775</x:v>
      </x:c>
      <x:c r="J27" s="15" t="n">
        <x:v>3658</x:v>
      </x:c>
      <x:c r="K27" s="15" t="n">
        <x:v>43.288442</x:v>
      </x:c>
      <x:c r="L27" s="15" t="n">
        <x:v>18.045484</x:v>
      </x:c>
      <x:c r="M27" s="15" t="n">
        <x:v>3.933463</x:v>
      </x:c>
      <x:c r="N27" s="15" t="n">
        <x:v>21101</x:v>
      </x:c>
      <x:c r="O27" s="15" t="n">
        <x:v>1406</x:v>
      </x:c>
      <x:c r="P27" s="15" t="n">
        <x:v>735</x:v>
      </x:c>
      <x:c r="Q27" s="15" t="n">
        <x:v>413</x:v>
      </x:c>
      <x:c r="R27" s="15" t="n">
        <x:v>1906</x:v>
      </x:c>
      <x:c r="S27" s="15" t="n">
        <x:v>859</x:v>
      </x:c>
      <x:c r="T27" s="15" t="n">
        <x:v>3448</x:v>
      </x:c>
      <x:c r="U27" s="15" t="n">
        <x:v>985</x:v>
      </x:c>
      <x:c r="V27" s="15" t="n">
        <x:v>3515</x:v>
      </x:c>
      <x:c r="W27" s="15" t="n">
        <x:v>1233</x:v>
      </x:c>
      <x:c r="X27" s="15" t="n">
        <x:v>1892</x:v>
      </x:c>
      <x:c r="Y27" s="15" t="n">
        <x:v>875</x:v>
      </x:c>
      <x:c r="Z27" s="15" t="n">
        <x:v>1571</x:v>
      </x:c>
      <x:c r="AA27" s="15" t="n">
        <x:v>694</x:v>
      </x:c>
      <x:c r="AB27" s="15" t="n">
        <x:v>1351</x:v>
      </x:c>
      <x:c r="AC27" s="15" t="n">
        <x:v>680</x:v>
      </x:c>
      <x:c r="AD27" s="15" t="n">
        <x:v>2195</x:v>
      </x:c>
      <x:c r="AE27" s="15" t="n">
        <x:v>956</x:v>
      </x:c>
      <x:c r="AF27" s="15" t="n">
        <x:v>3658</x:v>
      </x:c>
      <x:c r="AG27" s="15" t="n">
        <x:v>866</x:v>
      </x:c>
      <x:c r="AH27" s="15" t="n">
        <x:v>830</x:v>
      </x:c>
      <x:c r="AI27" s="15" t="n">
        <x:v>365</x:v>
      </x:c>
    </x:row>
    <x:row r="28" ht="22" customHeight="1">
      <x:c r="A28" s="1" t="str">
        <x:v>310M700US11200</x:v>
      </x:c>
      <x:c r="B28" s="1" t="str">
        <x:v>11200</x:v>
      </x:c>
      <x:c r="C28" s="1" t="str">
        <x:v>Amherst Town-Northampton, MA Metro Area</x:v>
      </x:c>
      <x:c r="D28" s="5" t="n">
        <x:v>2024</x:v>
      </x:c>
      <x:c r="E28" s="1" t="str">
        <x:v>ok</x:v>
      </x:c>
      <x:c r="F28" s="15" t="n">
        <x:v>21477</x:v>
      </x:c>
      <x:c r="G28" s="15" t="n">
        <x:v>1156</x:v>
      </x:c>
      <x:c r="H28" s="15" t="n">
        <x:v>20321</x:v>
      </x:c>
      <x:c r="I28" s="15" t="n">
        <x:v>12526</x:v>
      </x:c>
      <x:c r="J28" s="15" t="n">
        <x:v>6463</x:v>
      </x:c>
      <x:c r="K28" s="15" t="n">
        <x:v>61.640667</x:v>
      </x:c>
      <x:c r="L28" s="15" t="n">
        <x:v>31.804537</x:v>
      </x:c>
      <x:c r="M28" s="15" t="n">
        <x:v>5.382502</x:v>
      </x:c>
      <x:c r="N28" s="15" t="n">
        <x:v>21477</x:v>
      </x:c>
      <x:c r="O28" s="15" t="n">
        <x:v>2115</x:v>
      </x:c>
      <x:c r="P28" s="15" t="n">
        <x:v>1243</x:v>
      </x:c>
      <x:c r="Q28" s="15" t="n">
        <x:v>750</x:v>
      </x:c>
      <x:c r="R28" s="15" t="n">
        <x:v>1049</x:v>
      </x:c>
      <x:c r="S28" s="15" t="n">
        <x:v>575</x:v>
      </x:c>
      <x:c r="T28" s="15" t="n">
        <x:v>1441</x:v>
      </x:c>
      <x:c r="U28" s="15" t="n">
        <x:v>654</x:v>
      </x:c>
      <x:c r="V28" s="15" t="n">
        <x:v>1496</x:v>
      </x:c>
      <x:c r="W28" s="15" t="n">
        <x:v>627</x:v>
      </x:c>
      <x:c r="X28" s="15" t="n">
        <x:v>2566</x:v>
      </x:c>
      <x:c r="Y28" s="15" t="n">
        <x:v>1068</x:v>
      </x:c>
      <x:c r="Z28" s="15" t="n">
        <x:v>2560</x:v>
      </x:c>
      <x:c r="AA28" s="15" t="n">
        <x:v>1111</x:v>
      </x:c>
      <x:c r="AB28" s="15" t="n">
        <x:v>1007</x:v>
      </x:c>
      <x:c r="AC28" s="15" t="n">
        <x:v>530</x:v>
      </x:c>
      <x:c r="AD28" s="15" t="n">
        <x:v>2496</x:v>
      </x:c>
      <x:c r="AE28" s="15" t="n">
        <x:v>1182</x:v>
      </x:c>
      <x:c r="AF28" s="15" t="n">
        <x:v>6463</x:v>
      </x:c>
      <x:c r="AG28" s="15" t="n">
        <x:v>1582</x:v>
      </x:c>
      <x:c r="AH28" s="15" t="n">
        <x:v>1156</x:v>
      </x:c>
      <x:c r="AI28" s="15" t="n">
        <x:v>607</x:v>
      </x:c>
    </x:row>
    <x:row r="29" ht="22" customHeight="1">
      <x:c r="A29" s="1" t="str">
        <x:v>310M700US11260</x:v>
      </x:c>
      <x:c r="B29" s="1" t="str">
        <x:v>11260</x:v>
      </x:c>
      <x:c r="C29" s="1" t="str">
        <x:v>Anchorage, AK Metro Area</x:v>
      </x:c>
      <x:c r="D29" s="5" t="n">
        <x:v>2024</x:v>
      </x:c>
      <x:c r="E29" s="1" t="str">
        <x:v>ok</x:v>
      </x:c>
      <x:c r="F29" s="15" t="n">
        <x:v>49513</x:v>
      </x:c>
      <x:c r="G29" s="15" t="n">
        <x:v>3074</x:v>
      </x:c>
      <x:c r="H29" s="15" t="n">
        <x:v>46439</x:v>
      </x:c>
      <x:c r="I29" s="15" t="n">
        <x:v>19263</x:v>
      </x:c>
      <x:c r="J29" s="15" t="n">
        <x:v>9588</x:v>
      </x:c>
      <x:c r="K29" s="15" t="n">
        <x:v>41.480221</x:v>
      </x:c>
      <x:c r="L29" s="15" t="n">
        <x:v>20.646439</x:v>
      </x:c>
      <x:c r="M29" s="15" t="n">
        <x:v>6.208471</x:v>
      </x:c>
      <x:c r="N29" s="15" t="n">
        <x:v>49513</x:v>
      </x:c>
      <x:c r="O29" s="15" t="n">
        <x:v>3703</x:v>
      </x:c>
      <x:c r="P29" s="15" t="n">
        <x:v>1968</x:v>
      </x:c>
      <x:c r="Q29" s="15" t="n">
        <x:v>773</x:v>
      </x:c>
      <x:c r="R29" s="15" t="n">
        <x:v>4226</x:v>
      </x:c>
      <x:c r="S29" s="15" t="n">
        <x:v>1349</x:v>
      </x:c>
      <x:c r="T29" s="15" t="n">
        <x:v>7168</x:v>
      </x:c>
      <x:c r="U29" s="15" t="n">
        <x:v>1876</x:v>
      </x:c>
      <x:c r="V29" s="15" t="n">
        <x:v>7465</x:v>
      </x:c>
      <x:c r="W29" s="15" t="n">
        <x:v>1748</x:v>
      </x:c>
      <x:c r="X29" s="15" t="n">
        <x:v>6349</x:v>
      </x:c>
      <x:c r="Y29" s="15" t="n">
        <x:v>1450</x:v>
      </x:c>
      <x:c r="Z29" s="15" t="n">
        <x:v>4776</x:v>
      </x:c>
      <x:c r="AA29" s="15" t="n">
        <x:v>1321</x:v>
      </x:c>
      <x:c r="AB29" s="15" t="n">
        <x:v>1766</x:v>
      </x:c>
      <x:c r="AC29" s="15" t="n">
        <x:v>680</x:v>
      </x:c>
      <x:c r="AD29" s="15" t="n">
        <x:v>3133</x:v>
      </x:c>
      <x:c r="AE29" s="15" t="n">
        <x:v>1274</x:v>
      </x:c>
      <x:c r="AF29" s="15" t="n">
        <x:v>9588</x:v>
      </x:c>
      <x:c r="AG29" s="15" t="n">
        <x:v>1946</x:v>
      </x:c>
      <x:c r="AH29" s="15" t="n">
        <x:v>3074</x:v>
      </x:c>
      <x:c r="AI29" s="15" t="n">
        <x:v>1014</x:v>
      </x:c>
    </x:row>
    <x:row r="30" ht="22" customHeight="1">
      <x:c r="A30" s="1" t="str">
        <x:v>310M700US11460</x:v>
      </x:c>
      <x:c r="B30" s="1" t="str">
        <x:v>11460</x:v>
      </x:c>
      <x:c r="C30" s="1" t="str">
        <x:v>Ann Arbor, MI Metro Area</x:v>
      </x:c>
      <x:c r="D30" s="5" t="n">
        <x:v>2024</x:v>
      </x:c>
      <x:c r="E30" s="1" t="str">
        <x:v>ok</x:v>
      </x:c>
      <x:c r="F30" s="15" t="n">
        <x:v>56111</x:v>
      </x:c>
      <x:c r="G30" s="15" t="n">
        <x:v>2984</x:v>
      </x:c>
      <x:c r="H30" s="15" t="n">
        <x:v>53127</x:v>
      </x:c>
      <x:c r="I30" s="15" t="n">
        <x:v>31165</x:v>
      </x:c>
      <x:c r="J30" s="15" t="n">
        <x:v>17503</x:v>
      </x:c>
      <x:c r="K30" s="15" t="n">
        <x:v>58.661321</x:v>
      </x:c>
      <x:c r="L30" s="15" t="n">
        <x:v>32.945583</x:v>
      </x:c>
      <x:c r="M30" s="15" t="n">
        <x:v>5.31803</x:v>
      </x:c>
      <x:c r="N30" s="15" t="n">
        <x:v>56111</x:v>
      </x:c>
      <x:c r="O30" s="15" t="n">
        <x:v>2456</x:v>
      </x:c>
      <x:c r="P30" s="15" t="n">
        <x:v>836</x:v>
      </x:c>
      <x:c r="Q30" s="15" t="n">
        <x:v>418</x:v>
      </x:c>
      <x:c r="R30" s="15" t="n">
        <x:v>3042</x:v>
      </x:c>
      <x:c r="S30" s="15" t="n">
        <x:v>749</x:v>
      </x:c>
      <x:c r="T30" s="15" t="n">
        <x:v>6718</x:v>
      </x:c>
      <x:c r="U30" s="15" t="n">
        <x:v>1303</x:v>
      </x:c>
      <x:c r="V30" s="15" t="n">
        <x:v>5433</x:v>
      </x:c>
      <x:c r="W30" s="15" t="n">
        <x:v>1435</x:v>
      </x:c>
      <x:c r="X30" s="15" t="n">
        <x:v>5933</x:v>
      </x:c>
      <x:c r="Y30" s="15" t="n">
        <x:v>1332</x:v>
      </x:c>
      <x:c r="Z30" s="15" t="n">
        <x:v>3312</x:v>
      </x:c>
      <x:c r="AA30" s="15" t="n">
        <x:v>996</x:v>
      </x:c>
      <x:c r="AB30" s="15" t="n">
        <x:v>3728</x:v>
      </x:c>
      <x:c r="AC30" s="15" t="n">
        <x:v>1127</x:v>
      </x:c>
      <x:c r="AD30" s="15" t="n">
        <x:v>6622</x:v>
      </x:c>
      <x:c r="AE30" s="15" t="n">
        <x:v>1896</x:v>
      </x:c>
      <x:c r="AF30" s="15" t="n">
        <x:v>17503</x:v>
      </x:c>
      <x:c r="AG30" s="15" t="n">
        <x:v>2438</x:v>
      </x:c>
      <x:c r="AH30" s="15" t="n">
        <x:v>2984</x:v>
      </x:c>
      <x:c r="AI30" s="15" t="n">
        <x:v>1045</x:v>
      </x:c>
    </x:row>
    <x:row r="31" ht="22" customHeight="1">
      <x:c r="A31" s="1" t="str">
        <x:v>310M700US11500</x:v>
      </x:c>
      <x:c r="B31" s="1" t="str">
        <x:v>11500</x:v>
      </x:c>
      <x:c r="C31" s="1" t="str">
        <x:v>Anniston-Oxford, AL Metro Area</x:v>
      </x:c>
      <x:c r="D31" s="5" t="n">
        <x:v>2024</x:v>
      </x:c>
      <x:c r="E31" s="1" t="str">
        <x:v>ok</x:v>
      </x:c>
      <x:c r="F31" s="15" t="n">
        <x:v>13241</x:v>
      </x:c>
      <x:c r="G31" s="15" t="n">
        <x:v>2701</x:v>
      </x:c>
      <x:c r="H31" s="15" t="n">
        <x:v>10540</x:v>
      </x:c>
      <x:c r="I31" s="15" t="n">
        <x:v>4599</x:v>
      </x:c>
      <x:c r="J31" s="15" t="n">
        <x:v>2949</x:v>
      </x:c>
      <x:c r="K31" s="15" t="n">
        <x:v>43.633776</x:v>
      </x:c>
      <x:c r="L31" s="15" t="n">
        <x:v>27.979127</x:v>
      </x:c>
      <x:c r="M31" s="15" t="n">
        <x:v>20.398761</x:v>
      </x:c>
      <x:c r="N31" s="15" t="n">
        <x:v>13241</x:v>
      </x:c>
      <x:c r="O31" s="15" t="n">
        <x:v>1668</x:v>
      </x:c>
      <x:c r="P31" s="15" t="n">
        <x:v>274</x:v>
      </x:c>
      <x:c r="Q31" s="15" t="n">
        <x:v>181</x:v>
      </x:c>
      <x:c r="R31" s="15" t="n">
        <x:v>593</x:v>
      </x:c>
      <x:c r="S31" s="15" t="n">
        <x:v>318</x:v>
      </x:c>
      <x:c r="T31" s="15" t="n">
        <x:v>2144</x:v>
      </x:c>
      <x:c r="U31" s="15" t="n">
        <x:v>766</x:v>
      </x:c>
      <x:c r="V31" s="15" t="n">
        <x:v>1335</x:v>
      </x:c>
      <x:c r="W31" s="15" t="n">
        <x:v>626</x:v>
      </x:c>
      <x:c r="X31" s="15" t="n">
        <x:v>1595</x:v>
      </x:c>
      <x:c r="Y31" s="15" t="n">
        <x:v>698</x:v>
      </x:c>
      <x:c r="Z31" s="15" t="n">
        <x:v>1099</x:v>
      </x:c>
      <x:c r="AA31" s="15" t="n">
        <x:v>542</x:v>
      </x:c>
      <x:c r="AB31" s="15" t="n">
        <x:v>241</x:v>
      </x:c>
      <x:c r="AC31" s="15" t="n">
        <x:v>205</x:v>
      </x:c>
      <x:c r="AD31" s="15" t="n">
        <x:v>310</x:v>
      </x:c>
      <x:c r="AE31" s="15" t="n">
        <x:v>238</x:v>
      </x:c>
      <x:c r="AF31" s="15" t="n">
        <x:v>2949</x:v>
      </x:c>
      <x:c r="AG31" s="15" t="n">
        <x:v>861</x:v>
      </x:c>
      <x:c r="AH31" s="15" t="n">
        <x:v>2701</x:v>
      </x:c>
      <x:c r="AI31" s="15" t="n">
        <x:v>902</x:v>
      </x:c>
    </x:row>
    <x:row r="32" ht="22" customHeight="1">
      <x:c r="A32" s="1" t="str">
        <x:v>310M700US11540</x:v>
      </x:c>
      <x:c r="B32" s="1" t="str">
        <x:v>11540</x:v>
      </x:c>
      <x:c r="C32" s="1" t="str">
        <x:v>Appleton, WI Metro Area</x:v>
      </x:c>
      <x:c r="D32" s="5" t="n">
        <x:v>2024</x:v>
      </x:c>
      <x:c r="E32" s="1" t="str">
        <x:v>ok</x:v>
      </x:c>
      <x:c r="F32" s="15" t="n">
        <x:v>28305</x:v>
      </x:c>
      <x:c r="G32" s="15" t="n">
        <x:v>1243</x:v>
      </x:c>
      <x:c r="H32" s="15" t="n">
        <x:v>27062</x:v>
      </x:c>
      <x:c r="I32" s="15" t="n">
        <x:v>11578</x:v>
      </x:c>
      <x:c r="J32" s="15" t="n">
        <x:v>5806</x:v>
      </x:c>
      <x:c r="K32" s="15" t="n">
        <x:v>42.783238</x:v>
      </x:c>
      <x:c r="L32" s="15" t="n">
        <x:v>21.454438</x:v>
      </x:c>
      <x:c r="M32" s="15" t="n">
        <x:v>4.39145</x:v>
      </x:c>
      <x:c r="N32" s="15" t="n">
        <x:v>28305</x:v>
      </x:c>
      <x:c r="O32" s="15" t="n">
        <x:v>2115</x:v>
      </x:c>
      <x:c r="P32" s="15" t="n">
        <x:v>1186</x:v>
      </x:c>
      <x:c r="Q32" s="15" t="n">
        <x:v>569</x:v>
      </x:c>
      <x:c r="R32" s="15" t="n">
        <x:v>4274</x:v>
      </x:c>
      <x:c r="S32" s="15" t="n">
        <x:v>1028</x:v>
      </x:c>
      <x:c r="T32" s="15" t="n">
        <x:v>3212</x:v>
      </x:c>
      <x:c r="U32" s="15" t="n">
        <x:v>951</x:v>
      </x:c>
      <x:c r="V32" s="15" t="n">
        <x:v>3989</x:v>
      </x:c>
      <x:c r="W32" s="15" t="n">
        <x:v>825</x:v>
      </x:c>
      <x:c r="X32" s="15" t="n">
        <x:v>2823</x:v>
      </x:c>
      <x:c r="Y32" s="15" t="n">
        <x:v>877</x:v>
      </x:c>
      <x:c r="Z32" s="15" t="n">
        <x:v>2225</x:v>
      </x:c>
      <x:c r="AA32" s="15" t="n">
        <x:v>813</x:v>
      </x:c>
      <x:c r="AB32" s="15" t="n">
        <x:v>1462</x:v>
      </x:c>
      <x:c r="AC32" s="15" t="n">
        <x:v>623</x:v>
      </x:c>
      <x:c r="AD32" s="15" t="n">
        <x:v>2085</x:v>
      </x:c>
      <x:c r="AE32" s="15" t="n">
        <x:v>589</x:v>
      </x:c>
      <x:c r="AF32" s="15" t="n">
        <x:v>5806</x:v>
      </x:c>
      <x:c r="AG32" s="15" t="n">
        <x:v>1434</x:v>
      </x:c>
      <x:c r="AH32" s="15" t="n">
        <x:v>1243</x:v>
      </x:c>
      <x:c r="AI32" s="15" t="n">
        <x:v>550</x:v>
      </x:c>
    </x:row>
    <x:row r="33" ht="22" customHeight="1">
      <x:c r="A33" s="1" t="str">
        <x:v>310M700US11700</x:v>
      </x:c>
      <x:c r="B33" s="1" t="str">
        <x:v>11700</x:v>
      </x:c>
      <x:c r="C33" s="1" t="str">
        <x:v>Asheville, NC Metro Area</x:v>
      </x:c>
      <x:c r="D33" s="5" t="n">
        <x:v>2024</x:v>
      </x:c>
      <x:c r="E33" s="1" t="str">
        <x:v>ok</x:v>
      </x:c>
      <x:c r="F33" s="15" t="n">
        <x:v>42822</x:v>
      </x:c>
      <x:c r="G33" s="15" t="n">
        <x:v>4203</x:v>
      </x:c>
      <x:c r="H33" s="15" t="n">
        <x:v>38619</x:v>
      </x:c>
      <x:c r="I33" s="15" t="n">
        <x:v>20601</x:v>
      </x:c>
      <x:c r="J33" s="15" t="n">
        <x:v>9329</x:v>
      </x:c>
      <x:c r="K33" s="15" t="n">
        <x:v>53.344209</x:v>
      </x:c>
      <x:c r="L33" s="15" t="n">
        <x:v>24.156503</x:v>
      </x:c>
      <x:c r="M33" s="15" t="n">
        <x:v>9.815048</x:v>
      </x:c>
      <x:c r="N33" s="15" t="n">
        <x:v>42822</x:v>
      </x:c>
      <x:c r="O33" s="15" t="n">
        <x:v>3887</x:v>
      </x:c>
      <x:c r="P33" s="15" t="n">
        <x:v>1000</x:v>
      </x:c>
      <x:c r="Q33" s="15" t="n">
        <x:v>470</x:v>
      </x:c>
      <x:c r="R33" s="15" t="n">
        <x:v>3760</x:v>
      </x:c>
      <x:c r="S33" s="15" t="n">
        <x:v>1027</x:v>
      </x:c>
      <x:c r="T33" s="15" t="n">
        <x:v>3309</x:v>
      </x:c>
      <x:c r="U33" s="15" t="n">
        <x:v>980</x:v>
      </x:c>
      <x:c r="V33" s="15" t="n">
        <x:v>6089</x:v>
      </x:c>
      <x:c r="W33" s="15" t="n">
        <x:v>1830</x:v>
      </x:c>
      <x:c r="X33" s="15" t="n">
        <x:v>3860</x:v>
      </x:c>
      <x:c r="Y33" s="15" t="n">
        <x:v>1075</x:v>
      </x:c>
      <x:c r="Z33" s="15" t="n">
        <x:v>4332</x:v>
      </x:c>
      <x:c r="AA33" s="15" t="n">
        <x:v>1049</x:v>
      </x:c>
      <x:c r="AB33" s="15" t="n">
        <x:v>3586</x:v>
      </x:c>
      <x:c r="AC33" s="15" t="n">
        <x:v>1165</x:v>
      </x:c>
      <x:c r="AD33" s="15" t="n">
        <x:v>3354</x:v>
      </x:c>
      <x:c r="AE33" s="15" t="n">
        <x:v>1270</x:v>
      </x:c>
      <x:c r="AF33" s="15" t="n">
        <x:v>9329</x:v>
      </x:c>
      <x:c r="AG33" s="15" t="n">
        <x:v>1945</x:v>
      </x:c>
      <x:c r="AH33" s="15" t="n">
        <x:v>4203</x:v>
      </x:c>
      <x:c r="AI33" s="15" t="n">
        <x:v>1293</x:v>
      </x:c>
    </x:row>
    <x:row r="34" ht="22" customHeight="1">
      <x:c r="A34" s="1" t="str">
        <x:v>310M700US12020</x:v>
      </x:c>
      <x:c r="B34" s="1" t="str">
        <x:v>12020</x:v>
      </x:c>
      <x:c r="C34" s="1" t="str">
        <x:v>Athens-Clarke County, GA Metro Area</x:v>
      </x:c>
      <x:c r="D34" s="5" t="n">
        <x:v>2024</x:v>
      </x:c>
      <x:c r="E34" s="1" t="str">
        <x:v>ok</x:v>
      </x:c>
      <x:c r="F34" s="15" t="n">
        <x:v>39416</x:v>
      </x:c>
      <x:c r="G34" s="15" t="n">
        <x:v>3435</x:v>
      </x:c>
      <x:c r="H34" s="15" t="n">
        <x:v>35981</x:v>
      </x:c>
      <x:c r="I34" s="15" t="n">
        <x:v>20077</x:v>
      </x:c>
      <x:c r="J34" s="15" t="n">
        <x:v>10718</x:v>
      </x:c>
      <x:c r="K34" s="15" t="n">
        <x:v>55.798894</x:v>
      </x:c>
      <x:c r="L34" s="15" t="n">
        <x:v>29.787944</x:v>
      </x:c>
      <x:c r="M34" s="15" t="n">
        <x:v>8.714735</x:v>
      </x:c>
      <x:c r="N34" s="15" t="n">
        <x:v>39416</x:v>
      </x:c>
      <x:c r="O34" s="15" t="n">
        <x:v>2419</x:v>
      </x:c>
      <x:c r="P34" s="15" t="n">
        <x:v>332</x:v>
      </x:c>
      <x:c r="Q34" s="15" t="n">
        <x:v>242</x:v>
      </x:c>
      <x:c r="R34" s="15" t="n">
        <x:v>1985</x:v>
      </x:c>
      <x:c r="S34" s="15" t="n">
        <x:v>863</x:v>
      </x:c>
      <x:c r="T34" s="15" t="n">
        <x:v>4742</x:v>
      </x:c>
      <x:c r="U34" s="15" t="n">
        <x:v>1424</x:v>
      </x:c>
      <x:c r="V34" s="15" t="n">
        <x:v>3232</x:v>
      </x:c>
      <x:c r="W34" s="15" t="n">
        <x:v>964</x:v>
      </x:c>
      <x:c r="X34" s="15" t="n">
        <x:v>5613</x:v>
      </x:c>
      <x:c r="Y34" s="15" t="n">
        <x:v>1614</x:v>
      </x:c>
      <x:c r="Z34" s="15" t="n">
        <x:v>3629</x:v>
      </x:c>
      <x:c r="AA34" s="15" t="n">
        <x:v>1352</x:v>
      </x:c>
      <x:c r="AB34" s="15" t="n">
        <x:v>2429</x:v>
      </x:c>
      <x:c r="AC34" s="15" t="n">
        <x:v>941</x:v>
      </x:c>
      <x:c r="AD34" s="15" t="n">
        <x:v>3301</x:v>
      </x:c>
      <x:c r="AE34" s="15" t="n">
        <x:v>1335</x:v>
      </x:c>
      <x:c r="AF34" s="15" t="n">
        <x:v>10718</x:v>
      </x:c>
      <x:c r="AG34" s="15" t="n">
        <x:v>2108</x:v>
      </x:c>
      <x:c r="AH34" s="15" t="n">
        <x:v>3435</x:v>
      </x:c>
      <x:c r="AI34" s="15" t="n">
        <x:v>1068</x:v>
      </x:c>
    </x:row>
    <x:row r="35" ht="22" customHeight="1">
      <x:c r="A35" s="1" t="str">
        <x:v>310M700US12060</x:v>
      </x:c>
      <x:c r="B35" s="1" t="str">
        <x:v>12060</x:v>
      </x:c>
      <x:c r="C35" s="1" t="str">
        <x:v>Atlanta-Sandy Springs-Roswell, GA Metro Area</x:v>
      </x:c>
      <x:c r="D35" s="5" t="n">
        <x:v>2024</x:v>
      </x:c>
      <x:c r="E35" s="1" t="str">
        <x:v>ok</x:v>
      </x:c>
      <x:c r="F35" s="15" t="n">
        <x:v>792937</x:v>
      </x:c>
      <x:c r="G35" s="15" t="n">
        <x:v>39708</x:v>
      </x:c>
      <x:c r="H35" s="15" t="n">
        <x:v>753229</x:v>
      </x:c>
      <x:c r="I35" s="15" t="n">
        <x:v>422185</x:v>
      </x:c>
      <x:c r="J35" s="15" t="n">
        <x:v>207898</x:v>
      </x:c>
      <x:c r="K35" s="15" t="n">
        <x:v>56.050019</x:v>
      </x:c>
      <x:c r="L35" s="15" t="n">
        <x:v>27.600902</x:v>
      </x:c>
      <x:c r="M35" s="15" t="n">
        <x:v>5.007712</x:v>
      </x:c>
      <x:c r="N35" s="15" t="n">
        <x:v>792937</x:v>
      </x:c>
      <x:c r="O35" s="15" t="n">
        <x:v>14850</x:v>
      </x:c>
      <x:c r="P35" s="15" t="n">
        <x:v>23516</x:v>
      </x:c>
      <x:c r="Q35" s="15" t="n">
        <x:v>2837</x:v>
      </x:c>
      <x:c r="R35" s="15" t="n">
        <x:v>56730</x:v>
      </x:c>
      <x:c r="S35" s="15" t="n">
        <x:v>6064</x:v>
      </x:c>
      <x:c r="T35" s="15" t="n">
        <x:v>80540</x:v>
      </x:c>
      <x:c r="U35" s="15" t="n">
        <x:v>5865</x:v>
      </x:c>
      <x:c r="V35" s="15" t="n">
        <x:v>87680</x:v>
      </x:c>
      <x:c r="W35" s="15" t="n">
        <x:v>6688</x:v>
      </x:c>
      <x:c r="X35" s="15" t="n">
        <x:v>82578</x:v>
      </x:c>
      <x:c r="Y35" s="15" t="n">
        <x:v>5943</x:v>
      </x:c>
      <x:c r="Z35" s="15" t="n">
        <x:v>82433</x:v>
      </x:c>
      <x:c r="AA35" s="15" t="n">
        <x:v>5765</x:v>
      </x:c>
      <x:c r="AB35" s="15" t="n">
        <x:v>49227</x:v>
      </x:c>
      <x:c r="AC35" s="15" t="n">
        <x:v>4380</x:v>
      </x:c>
      <x:c r="AD35" s="15" t="n">
        <x:v>82627</x:v>
      </x:c>
      <x:c r="AE35" s="15" t="n">
        <x:v>6081</x:v>
      </x:c>
      <x:c r="AF35" s="15" t="n">
        <x:v>207898</x:v>
      </x:c>
      <x:c r="AG35" s="15" t="n">
        <x:v>10475</x:v>
      </x:c>
      <x:c r="AH35" s="15" t="n">
        <x:v>39708</x:v>
      </x:c>
      <x:c r="AI35" s="15" t="n">
        <x:v>3875</x:v>
      </x:c>
    </x:row>
    <x:row r="36" ht="22" customHeight="1">
      <x:c r="A36" s="1" t="str">
        <x:v>310M700US12100</x:v>
      </x:c>
      <x:c r="B36" s="1" t="str">
        <x:v>12100</x:v>
      </x:c>
      <x:c r="C36" s="1" t="str">
        <x:v>Atlantic City-Hammonton, NJ Metro Area</x:v>
      </x:c>
      <x:c r="D36" s="5" t="n">
        <x:v>2024</x:v>
      </x:c>
      <x:c r="E36" s="1" t="str">
        <x:v>ok</x:v>
      </x:c>
      <x:c r="F36" s="15" t="n">
        <x:v>41060</x:v>
      </x:c>
      <x:c r="G36" s="15" t="n">
        <x:v>1885</x:v>
      </x:c>
      <x:c r="H36" s="15" t="n">
        <x:v>39175</x:v>
      </x:c>
      <x:c r="I36" s="15" t="n">
        <x:v>23612</x:v>
      </x:c>
      <x:c r="J36" s="15" t="n">
        <x:v>12423</x:v>
      </x:c>
      <x:c r="K36" s="15" t="n">
        <x:v>60.273133</x:v>
      </x:c>
      <x:c r="L36" s="15" t="n">
        <x:v>31.711551</x:v>
      </x:c>
      <x:c r="M36" s="15" t="n">
        <x:v>4.590843</x:v>
      </x:c>
      <x:c r="N36" s="15" t="n">
        <x:v>41060</x:v>
      </x:c>
      <x:c r="O36" s="15" t="n">
        <x:v>3349</x:v>
      </x:c>
      <x:c r="P36" s="15" t="n">
        <x:v>1327</x:v>
      </x:c>
      <x:c r="Q36" s="15" t="n">
        <x:v>698</x:v>
      </x:c>
      <x:c r="R36" s="15" t="n">
        <x:v>3822</x:v>
      </x:c>
      <x:c r="S36" s="15" t="n">
        <x:v>1178</x:v>
      </x:c>
      <x:c r="T36" s="15" t="n">
        <x:v>2987</x:v>
      </x:c>
      <x:c r="U36" s="15" t="n">
        <x:v>988</x:v>
      </x:c>
      <x:c r="V36" s="15" t="n">
        <x:v>5201</x:v>
      </x:c>
      <x:c r="W36" s="15" t="n">
        <x:v>1284</x:v>
      </x:c>
      <x:c r="X36" s="15" t="n">
        <x:v>2226</x:v>
      </x:c>
      <x:c r="Y36" s="15" t="n">
        <x:v>1008</x:v>
      </x:c>
      <x:c r="Z36" s="15" t="n">
        <x:v>3894</x:v>
      </x:c>
      <x:c r="AA36" s="15" t="n">
        <x:v>1080</x:v>
      </x:c>
      <x:c r="AB36" s="15" t="n">
        <x:v>4675</x:v>
      </x:c>
      <x:c r="AC36" s="15" t="n">
        <x:v>1710</x:v>
      </x:c>
      <x:c r="AD36" s="15" t="n">
        <x:v>2620</x:v>
      </x:c>
      <x:c r="AE36" s="15" t="n">
        <x:v>1011</x:v>
      </x:c>
      <x:c r="AF36" s="15" t="n">
        <x:v>12423</x:v>
      </x:c>
      <x:c r="AG36" s="15" t="n">
        <x:v>2291</x:v>
      </x:c>
      <x:c r="AH36" s="15" t="n">
        <x:v>1885</x:v>
      </x:c>
      <x:c r="AI36" s="15" t="n">
        <x:v>668</x:v>
      </x:c>
    </x:row>
    <x:row r="37" ht="22" customHeight="1">
      <x:c r="A37" s="1" t="str">
        <x:v>310M700US12220</x:v>
      </x:c>
      <x:c r="B37" s="1" t="str">
        <x:v>12220</x:v>
      </x:c>
      <x:c r="C37" s="1" t="str">
        <x:v>Auburn-Opelika, AL Metro Area</x:v>
      </x:c>
      <x:c r="D37" s="5" t="n">
        <x:v>2024</x:v>
      </x:c>
      <x:c r="E37" s="1" t="str">
        <x:v>ok</x:v>
      </x:c>
      <x:c r="F37" s="15" t="n">
        <x:v>26759</x:v>
      </x:c>
      <x:c r="G37" s="15" t="n">
        <x:v>3042</x:v>
      </x:c>
      <x:c r="H37" s="15" t="n">
        <x:v>23717</x:v>
      </x:c>
      <x:c r="I37" s="15" t="n">
        <x:v>11427</x:v>
      </x:c>
      <x:c r="J37" s="15" t="n">
        <x:v>7180</x:v>
      </x:c>
      <x:c r="K37" s="15" t="n">
        <x:v>48.18063</x:v>
      </x:c>
      <x:c r="L37" s="15" t="n">
        <x:v>30.273643</x:v>
      </x:c>
      <x:c r="M37" s="15" t="n">
        <x:v>11.368138</x:v>
      </x:c>
      <x:c r="N37" s="15" t="n">
        <x:v>26759</x:v>
      </x:c>
      <x:c r="O37" s="15" t="n">
        <x:v>2402</x:v>
      </x:c>
      <x:c r="P37" s="15" t="n">
        <x:v>993</x:v>
      </x:c>
      <x:c r="Q37" s="15" t="n">
        <x:v>792</x:v>
      </x:c>
      <x:c r="R37" s="15" t="n">
        <x:v>1228</x:v>
      </x:c>
      <x:c r="S37" s="15" t="n">
        <x:v>646</x:v>
      </x:c>
      <x:c r="T37" s="15" t="n">
        <x:v>2928</x:v>
      </x:c>
      <x:c r="U37" s="15" t="n">
        <x:v>1048</x:v>
      </x:c>
      <x:c r="V37" s="15" t="n">
        <x:v>4273</x:v>
      </x:c>
      <x:c r="W37" s="15" t="n">
        <x:v>1287</x:v>
      </x:c>
      <x:c r="X37" s="15" t="n">
        <x:v>2868</x:v>
      </x:c>
      <x:c r="Y37" s="15" t="n">
        <x:v>1008</x:v>
      </x:c>
      <x:c r="Z37" s="15" t="n">
        <x:v>1364</x:v>
      </x:c>
      <x:c r="AA37" s="15" t="n">
        <x:v>612</x:v>
      </x:c>
      <x:c r="AB37" s="15" t="n">
        <x:v>1193</x:v>
      </x:c>
      <x:c r="AC37" s="15" t="n">
        <x:v>698</x:v>
      </x:c>
      <x:c r="AD37" s="15" t="n">
        <x:v>1690</x:v>
      </x:c>
      <x:c r="AE37" s="15" t="n">
        <x:v>768</x:v>
      </x:c>
      <x:c r="AF37" s="15" t="n">
        <x:v>7180</x:v>
      </x:c>
      <x:c r="AG37" s="15" t="n">
        <x:v>1497</x:v>
      </x:c>
      <x:c r="AH37" s="15" t="n">
        <x:v>3042</x:v>
      </x:c>
      <x:c r="AI37" s="15" t="n">
        <x:v>955</x:v>
      </x:c>
    </x:row>
    <x:row r="38" ht="22" customHeight="1">
      <x:c r="A38" s="1" t="str">
        <x:v>310M700US12260</x:v>
      </x:c>
      <x:c r="B38" s="1" t="str">
        <x:v>12260</x:v>
      </x:c>
      <x:c r="C38" s="1" t="str">
        <x:v>Augusta-Richmond County, GA-SC Metro Area</x:v>
      </x:c>
      <x:c r="D38" s="5" t="n">
        <x:v>2024</x:v>
      </x:c>
      <x:c r="E38" s="1" t="str">
        <x:v>ok</x:v>
      </x:c>
      <x:c r="F38" s="15" t="n">
        <x:v>81594</x:v>
      </x:c>
      <x:c r="G38" s="15" t="n">
        <x:v>7707</x:v>
      </x:c>
      <x:c r="H38" s="15" t="n">
        <x:v>73887</x:v>
      </x:c>
      <x:c r="I38" s="15" t="n">
        <x:v>36928</x:v>
      </x:c>
      <x:c r="J38" s="15" t="n">
        <x:v>18642</x:v>
      </x:c>
      <x:c r="K38" s="15" t="n">
        <x:v>49.979022</x:v>
      </x:c>
      <x:c r="L38" s="15" t="n">
        <x:v>25.230419</x:v>
      </x:c>
      <x:c r="M38" s="15" t="n">
        <x:v>9.445547</x:v>
      </x:c>
      <x:c r="N38" s="15" t="n">
        <x:v>81594</x:v>
      </x:c>
      <x:c r="O38" s="15" t="n">
        <x:v>4898</x:v>
      </x:c>
      <x:c r="P38" s="15" t="n">
        <x:v>2460</x:v>
      </x:c>
      <x:c r="Q38" s="15" t="n">
        <x:v>924</x:v>
      </x:c>
      <x:c r="R38" s="15" t="n">
        <x:v>7281</x:v>
      </x:c>
      <x:c r="S38" s="15" t="n">
        <x:v>1765</x:v>
      </x:c>
      <x:c r="T38" s="15" t="n">
        <x:v>10703</x:v>
      </x:c>
      <x:c r="U38" s="15" t="n">
        <x:v>2024</x:v>
      </x:c>
      <x:c r="V38" s="15" t="n">
        <x:v>7432</x:v>
      </x:c>
      <x:c r="W38" s="15" t="n">
        <x:v>1943</x:v>
      </x:c>
      <x:c r="X38" s="15" t="n">
        <x:v>9083</x:v>
      </x:c>
      <x:c r="Y38" s="15" t="n">
        <x:v>1998</x:v>
      </x:c>
      <x:c r="Z38" s="15" t="n">
        <x:v>7117</x:v>
      </x:c>
      <x:c r="AA38" s="15" t="n">
        <x:v>2053</x:v>
      </x:c>
      <x:c r="AB38" s="15" t="n">
        <x:v>5337</x:v>
      </x:c>
      <x:c r="AC38" s="15" t="n">
        <x:v>1674</x:v>
      </x:c>
      <x:c r="AD38" s="15" t="n">
        <x:v>5832</x:v>
      </x:c>
      <x:c r="AE38" s="15" t="n">
        <x:v>1482</x:v>
      </x:c>
      <x:c r="AF38" s="15" t="n">
        <x:v>18642</x:v>
      </x:c>
      <x:c r="AG38" s="15" t="n">
        <x:v>2796</x:v>
      </x:c>
      <x:c r="AH38" s="15" t="n">
        <x:v>7707</x:v>
      </x:c>
      <x:c r="AI38" s="15" t="n">
        <x:v>1561</x:v>
      </x:c>
    </x:row>
    <x:row r="39" ht="22" customHeight="1">
      <x:c r="A39" s="1" t="str">
        <x:v>310M700US12420</x:v>
      </x:c>
      <x:c r="B39" s="1" t="str">
        <x:v>12420</x:v>
      </x:c>
      <x:c r="C39" s="1" t="str">
        <x:v>Austin-Round Rock-San Marcos, TX Metro Area</x:v>
      </x:c>
      <x:c r="D39" s="5" t="n">
        <x:v>2024</x:v>
      </x:c>
      <x:c r="E39" s="1" t="str">
        <x:v>ok</x:v>
      </x:c>
      <x:c r="F39" s="15" t="n">
        <x:v>457429</x:v>
      </x:c>
      <x:c r="G39" s="15" t="n">
        <x:v>17945</x:v>
      </x:c>
      <x:c r="H39" s="15" t="n">
        <x:v>439484</x:v>
      </x:c>
      <x:c r="I39" s="15" t="n">
        <x:v>218426</x:v>
      </x:c>
      <x:c r="J39" s="15" t="n">
        <x:v>98732</x:v>
      </x:c>
      <x:c r="K39" s="15" t="n">
        <x:v>49.700558</x:v>
      </x:c>
      <x:c r="L39" s="15" t="n">
        <x:v>22.465437</x:v>
      </x:c>
      <x:c r="M39" s="15" t="n">
        <x:v>3.923013</x:v>
      </x:c>
      <x:c r="N39" s="15" t="n">
        <x:v>457429</x:v>
      </x:c>
      <x:c r="O39" s="15" t="n">
        <x:v>10111</x:v>
      </x:c>
      <x:c r="P39" s="15" t="n">
        <x:v>13674</x:v>
      </x:c>
      <x:c r="Q39" s="15" t="n">
        <x:v>2622</x:v>
      </x:c>
      <x:c r="R39" s="15" t="n">
        <x:v>32511</x:v>
      </x:c>
      <x:c r="S39" s="15" t="n">
        <x:v>4963</x:v>
      </x:c>
      <x:c r="T39" s="15" t="n">
        <x:v>56394</x:v>
      </x:c>
      <x:c r="U39" s="15" t="n">
        <x:v>4674</x:v>
      </x:c>
      <x:c r="V39" s="15" t="n">
        <x:v>63857</x:v>
      </x:c>
      <x:c r="W39" s="15" t="n">
        <x:v>6229</x:v>
      </x:c>
      <x:c r="X39" s="15" t="n">
        <x:v>54622</x:v>
      </x:c>
      <x:c r="Y39" s="15" t="n">
        <x:v>5096</x:v>
      </x:c>
      <x:c r="Z39" s="15" t="n">
        <x:v>42470</x:v>
      </x:c>
      <x:c r="AA39" s="15" t="n">
        <x:v>5532</x:v>
      </x:c>
      <x:c r="AB39" s="15" t="n">
        <x:v>35976</x:v>
      </x:c>
      <x:c r="AC39" s="15" t="n">
        <x:v>4637</x:v>
      </x:c>
      <x:c r="AD39" s="15" t="n">
        <x:v>41248</x:v>
      </x:c>
      <x:c r="AE39" s="15" t="n">
        <x:v>5313</x:v>
      </x:c>
      <x:c r="AF39" s="15" t="n">
        <x:v>98732</x:v>
      </x:c>
      <x:c r="AG39" s="15" t="n">
        <x:v>7344</x:v>
      </x:c>
      <x:c r="AH39" s="15" t="n">
        <x:v>17945</x:v>
      </x:c>
      <x:c r="AI39" s="15" t="n">
        <x:v>2940</x:v>
      </x:c>
    </x:row>
    <x:row r="40" ht="22" customHeight="1">
      <x:c r="A40" s="1" t="str">
        <x:v>310M700US12540</x:v>
      </x:c>
      <x:c r="B40" s="1" t="str">
        <x:v>12540</x:v>
      </x:c>
      <x:c r="C40" s="1" t="str">
        <x:v>Bakersfield-Delano, CA Metro Area</x:v>
      </x:c>
      <x:c r="D40" s="5" t="n">
        <x:v>2024</x:v>
      </x:c>
      <x:c r="E40" s="1" t="str">
        <x:v>ok</x:v>
      </x:c>
      <x:c r="F40" s="15" t="n">
        <x:v>113316</x:v>
      </x:c>
      <x:c r="G40" s="15" t="n">
        <x:v>5969</x:v>
      </x:c>
      <x:c r="H40" s="15" t="n">
        <x:v>107347</x:v>
      </x:c>
      <x:c r="I40" s="15" t="n">
        <x:v>63555</x:v>
      </x:c>
      <x:c r="J40" s="15" t="n">
        <x:v>33945</x:v>
      </x:c>
      <x:c r="K40" s="15" t="n">
        <x:v>59.205194</x:v>
      </x:c>
      <x:c r="L40" s="15" t="n">
        <x:v>31.62175</x:v>
      </x:c>
      <x:c r="M40" s="15" t="n">
        <x:v>5.26757</x:v>
      </x:c>
      <x:c r="N40" s="15" t="n">
        <x:v>113316</x:v>
      </x:c>
      <x:c r="O40" s="15" t="n">
        <x:v>3958</x:v>
      </x:c>
      <x:c r="P40" s="15" t="n">
        <x:v>2305</x:v>
      </x:c>
      <x:c r="Q40" s="15" t="n">
        <x:v>796</x:v>
      </x:c>
      <x:c r="R40" s="15" t="n">
        <x:v>7761</x:v>
      </x:c>
      <x:c r="S40" s="15" t="n">
        <x:v>1333</x:v>
      </x:c>
      <x:c r="T40" s="15" t="n">
        <x:v>9151</x:v>
      </x:c>
      <x:c r="U40" s="15" t="n">
        <x:v>1710</x:v>
      </x:c>
      <x:c r="V40" s="15" t="n">
        <x:v>11100</x:v>
      </x:c>
      <x:c r="W40" s="15" t="n">
        <x:v>1693</x:v>
      </x:c>
      <x:c r="X40" s="15" t="n">
        <x:v>13475</x:v>
      </x:c>
      <x:c r="Y40" s="15" t="n">
        <x:v>2007</x:v>
      </x:c>
      <x:c r="Z40" s="15" t="n">
        <x:v>9722</x:v>
      </x:c>
      <x:c r="AA40" s="15" t="n">
        <x:v>1782</x:v>
      </x:c>
      <x:c r="AB40" s="15" t="n">
        <x:v>8446</x:v>
      </x:c>
      <x:c r="AC40" s="15" t="n">
        <x:v>1900</x:v>
      </x:c>
      <x:c r="AD40" s="15" t="n">
        <x:v>11442</x:v>
      </x:c>
      <x:c r="AE40" s="15" t="n">
        <x:v>2074</x:v>
      </x:c>
      <x:c r="AF40" s="15" t="n">
        <x:v>33945</x:v>
      </x:c>
      <x:c r="AG40" s="15" t="n">
        <x:v>3156</x:v>
      </x:c>
      <x:c r="AH40" s="15" t="n">
        <x:v>5969</x:v>
      </x:c>
      <x:c r="AI40" s="15" t="n">
        <x:v>1610</x:v>
      </x:c>
    </x:row>
    <x:row r="41" ht="22" customHeight="1">
      <x:c r="A41" s="1" t="str">
        <x:v>310M700US12580</x:v>
      </x:c>
      <x:c r="B41" s="1" t="str">
        <x:v>12580</x:v>
      </x:c>
      <x:c r="C41" s="1" t="str">
        <x:v>Baltimore-Columbia-Towson, MD Metro Area</x:v>
      </x:c>
      <x:c r="D41" s="5" t="n">
        <x:v>2024</x:v>
      </x:c>
      <x:c r="E41" s="1" t="str">
        <x:v>ok</x:v>
      </x:c>
      <x:c r="F41" s="15" t="n">
        <x:v>380098</x:v>
      </x:c>
      <x:c r="G41" s="15" t="n">
        <x:v>20615</x:v>
      </x:c>
      <x:c r="H41" s="15" t="n">
        <x:v>359483</x:v>
      </x:c>
      <x:c r="I41" s="15" t="n">
        <x:v>187235</x:v>
      </x:c>
      <x:c r="J41" s="15" t="n">
        <x:v>90109</x:v>
      </x:c>
      <x:c r="K41" s="15" t="n">
        <x:v>52.084521</x:v>
      </x:c>
      <x:c r="L41" s="15" t="n">
        <x:v>25.066276</x:v>
      </x:c>
      <x:c r="M41" s="15" t="n">
        <x:v>5.423601</x:v>
      </x:c>
      <x:c r="N41" s="15" t="n">
        <x:v>380098</x:v>
      </x:c>
      <x:c r="O41" s="15" t="n">
        <x:v>9721</x:v>
      </x:c>
      <x:c r="P41" s="15" t="n">
        <x:v>16095</x:v>
      </x:c>
      <x:c r="Q41" s="15" t="n">
        <x:v>2861</x:v>
      </x:c>
      <x:c r="R41" s="15" t="n">
        <x:v>26371</x:v>
      </x:c>
      <x:c r="S41" s="15" t="n">
        <x:v>2861</x:v>
      </x:c>
      <x:c r="T41" s="15" t="n">
        <x:v>43421</x:v>
      </x:c>
      <x:c r="U41" s="15" t="n">
        <x:v>4323</x:v>
      </x:c>
      <x:c r="V41" s="15" t="n">
        <x:v>42302</x:v>
      </x:c>
      <x:c r="W41" s="15" t="n">
        <x:v>4508</x:v>
      </x:c>
      <x:c r="X41" s="15" t="n">
        <x:v>44059</x:v>
      </x:c>
      <x:c r="Y41" s="15" t="n">
        <x:v>4788</x:v>
      </x:c>
      <x:c r="Z41" s="15" t="n">
        <x:v>34179</x:v>
      </x:c>
      <x:c r="AA41" s="15" t="n">
        <x:v>3880</x:v>
      </x:c>
      <x:c r="AB41" s="15" t="n">
        <x:v>24032</x:v>
      </x:c>
      <x:c r="AC41" s="15" t="n">
        <x:v>2962</x:v>
      </x:c>
      <x:c r="AD41" s="15" t="n">
        <x:v>38915</x:v>
      </x:c>
      <x:c r="AE41" s="15" t="n">
        <x:v>4227</x:v>
      </x:c>
      <x:c r="AF41" s="15" t="n">
        <x:v>90109</x:v>
      </x:c>
      <x:c r="AG41" s="15" t="n">
        <x:v>6941</x:v>
      </x:c>
      <x:c r="AH41" s="15" t="n">
        <x:v>20615</x:v>
      </x:c>
      <x:c r="AI41" s="15" t="n">
        <x:v>3055</x:v>
      </x:c>
    </x:row>
    <x:row r="42" ht="22" customHeight="1">
      <x:c r="A42" s="1" t="str">
        <x:v>310M700US12620</x:v>
      </x:c>
      <x:c r="B42" s="1" t="str">
        <x:v>12620</x:v>
      </x:c>
      <x:c r="C42" s="1" t="str">
        <x:v>Bangor, ME Metro Area</x:v>
      </x:c>
      <x:c r="D42" s="5" t="n">
        <x:v>2024</x:v>
      </x:c>
      <x:c r="E42" s="1" t="str">
        <x:v>ok</x:v>
      </x:c>
      <x:c r="F42" s="15" t="n">
        <x:v>19355</x:v>
      </x:c>
      <x:c r="G42" s="15" t="n">
        <x:v>1257</x:v>
      </x:c>
      <x:c r="H42" s="15" t="n">
        <x:v>18098</x:v>
      </x:c>
      <x:c r="I42" s="15" t="n">
        <x:v>9705</x:v>
      </x:c>
      <x:c r="J42" s="15" t="n">
        <x:v>5086</x:v>
      </x:c>
      <x:c r="K42" s="15" t="n">
        <x:v>53.62471</x:v>
      </x:c>
      <x:c r="L42" s="15" t="n">
        <x:v>28.102553</x:v>
      </x:c>
      <x:c r="M42" s="15" t="n">
        <x:v>6.494446</x:v>
      </x:c>
      <x:c r="N42" s="15" t="n">
        <x:v>19355</x:v>
      </x:c>
      <x:c r="O42" s="15" t="n">
        <x:v>1834</x:v>
      </x:c>
      <x:c r="P42" s="15" t="n">
        <x:v>561</x:v>
      </x:c>
      <x:c r="Q42" s="15" t="n">
        <x:v>425</x:v>
      </x:c>
      <x:c r="R42" s="15" t="n">
        <x:v>1129</x:v>
      </x:c>
      <x:c r="S42" s="15" t="n">
        <x:v>617</x:v>
      </x:c>
      <x:c r="T42" s="15" t="n">
        <x:v>2508</x:v>
      </x:c>
      <x:c r="U42" s="15" t="n">
        <x:v>1181</x:v>
      </x:c>
      <x:c r="V42" s="15" t="n">
        <x:v>2394</x:v>
      </x:c>
      <x:c r="W42" s="15" t="n">
        <x:v>744</x:v>
      </x:c>
      <x:c r="X42" s="15" t="n">
        <x:v>1801</x:v>
      </x:c>
      <x:c r="Y42" s="15" t="n">
        <x:v>900</x:v>
      </x:c>
      <x:c r="Z42" s="15" t="n">
        <x:v>2059</x:v>
      </x:c>
      <x:c r="AA42" s="15" t="n">
        <x:v>829</x:v>
      </x:c>
      <x:c r="AB42" s="15" t="n">
        <x:v>1068</x:v>
      </x:c>
      <x:c r="AC42" s="15" t="n">
        <x:v>733</x:v>
      </x:c>
      <x:c r="AD42" s="15" t="n">
        <x:v>1492</x:v>
      </x:c>
      <x:c r="AE42" s="15" t="n">
        <x:v>785</x:v>
      </x:c>
      <x:c r="AF42" s="15" t="n">
        <x:v>5086</x:v>
      </x:c>
      <x:c r="AG42" s="15" t="n">
        <x:v>1278</x:v>
      </x:c>
      <x:c r="AH42" s="15" t="n">
        <x:v>1257</x:v>
      </x:c>
      <x:c r="AI42" s="15" t="n">
        <x:v>549</x:v>
      </x:c>
    </x:row>
    <x:row r="43" ht="22" customHeight="1">
      <x:c r="A43" s="1" t="str">
        <x:v>310M700US12700</x:v>
      </x:c>
      <x:c r="B43" s="1" t="str">
        <x:v>12700</x:v>
      </x:c>
      <x:c r="C43" s="1" t="str">
        <x:v>Barnstable Town, MA Metro Area</x:v>
      </x:c>
      <x:c r="D43" s="5" t="n">
        <x:v>2024</x:v>
      </x:c>
      <x:c r="E43" s="1" t="str">
        <x:v>ok</x:v>
      </x:c>
      <x:c r="F43" s="15" t="n">
        <x:v>21004</x:v>
      </x:c>
      <x:c r="G43" s="15" t="n">
        <x:v>1359</x:v>
      </x:c>
      <x:c r="H43" s="15" t="n">
        <x:v>19645</x:v>
      </x:c>
      <x:c r="I43" s="15" t="n">
        <x:v>10563</x:v>
      </x:c>
      <x:c r="J43" s="15" t="n">
        <x:v>5071</x:v>
      </x:c>
      <x:c r="K43" s="15" t="n">
        <x:v>53.769407</x:v>
      </x:c>
      <x:c r="L43" s="15" t="n">
        <x:v>25.813184</x:v>
      </x:c>
      <x:c r="M43" s="15" t="n">
        <x:v>6.470196</x:v>
      </x:c>
      <x:c r="N43" s="15" t="n">
        <x:v>21004</x:v>
      </x:c>
      <x:c r="O43" s="15" t="n">
        <x:v>3089</x:v>
      </x:c>
      <x:c r="P43" s="15" t="n">
        <x:v>689</x:v>
      </x:c>
      <x:c r="Q43" s="15" t="n">
        <x:v>520</x:v>
      </x:c>
      <x:c r="R43" s="15" t="n">
        <x:v>1382</x:v>
      </x:c>
      <x:c r="S43" s="15" t="n">
        <x:v>751</x:v>
      </x:c>
      <x:c r="T43" s="15" t="n">
        <x:v>2263</x:v>
      </x:c>
      <x:c r="U43" s="15" t="n">
        <x:v>1080</x:v>
      </x:c>
      <x:c r="V43" s="15" t="n">
        <x:v>2636</x:v>
      </x:c>
      <x:c r="W43" s="15" t="n">
        <x:v>1125</x:v>
      </x:c>
      <x:c r="X43" s="15" t="n">
        <x:v>2112</x:v>
      </x:c>
      <x:c r="Y43" s="15" t="n">
        <x:v>1234</x:v>
      </x:c>
      <x:c r="Z43" s="15" t="n">
        <x:v>2127</x:v>
      </x:c>
      <x:c r="AA43" s="15" t="n">
        <x:v>1130</x:v>
      </x:c>
      <x:c r="AB43" s="15" t="n">
        <x:v>1157</x:v>
      </x:c>
      <x:c r="AC43" s="15" t="n">
        <x:v>714</x:v>
      </x:c>
      <x:c r="AD43" s="15" t="n">
        <x:v>2208</x:v>
      </x:c>
      <x:c r="AE43" s="15" t="n">
        <x:v>1290</x:v>
      </x:c>
      <x:c r="AF43" s="15" t="n">
        <x:v>5071</x:v>
      </x:c>
      <x:c r="AG43" s="15" t="n">
        <x:v>1652</x:v>
      </x:c>
      <x:c r="AH43" s="15" t="n">
        <x:v>1359</x:v>
      </x:c>
      <x:c r="AI43" s="15" t="n">
        <x:v>624</x:v>
      </x:c>
    </x:row>
    <x:row r="44" ht="22" customHeight="1">
      <x:c r="A44" s="1" t="str">
        <x:v>310M700US12940</x:v>
      </x:c>
      <x:c r="B44" s="1" t="str">
        <x:v>12940</x:v>
      </x:c>
      <x:c r="C44" s="1" t="str">
        <x:v>Baton Rouge, LA Metro Area</x:v>
      </x:c>
      <x:c r="D44" s="5" t="n">
        <x:v>2024</x:v>
      </x:c>
      <x:c r="E44" s="1" t="str">
        <x:v>ok</x:v>
      </x:c>
      <x:c r="F44" s="15" t="n">
        <x:v>104526</x:v>
      </x:c>
      <x:c r="G44" s="15" t="n">
        <x:v>12615</x:v>
      </x:c>
      <x:c r="H44" s="15" t="n">
        <x:v>91911</x:v>
      </x:c>
      <x:c r="I44" s="15" t="n">
        <x:v>49624</x:v>
      </x:c>
      <x:c r="J44" s="15" t="n">
        <x:v>27183</x:v>
      </x:c>
      <x:c r="K44" s="15" t="n">
        <x:v>53.991361</x:v>
      </x:c>
      <x:c r="L44" s="15" t="n">
        <x:v>29.57535</x:v>
      </x:c>
      <x:c r="M44" s="15" t="n">
        <x:v>12.068768</x:v>
      </x:c>
      <x:c r="N44" s="15" t="n">
        <x:v>104526</x:v>
      </x:c>
      <x:c r="O44" s="15" t="n">
        <x:v>5669</x:v>
      </x:c>
      <x:c r="P44" s="15" t="n">
        <x:v>4354</x:v>
      </x:c>
      <x:c r="Q44" s="15" t="n">
        <x:v>1438</x:v>
      </x:c>
      <x:c r="R44" s="15" t="n">
        <x:v>9497</x:v>
      </x:c>
      <x:c r="S44" s="15" t="n">
        <x:v>2134</x:v>
      </x:c>
      <x:c r="T44" s="15" t="n">
        <x:v>8326</x:v>
      </x:c>
      <x:c r="U44" s="15" t="n">
        <x:v>2211</x:v>
      </x:c>
      <x:c r="V44" s="15" t="n">
        <x:v>10940</x:v>
      </x:c>
      <x:c r="W44" s="15" t="n">
        <x:v>2348</x:v>
      </x:c>
      <x:c r="X44" s="15" t="n">
        <x:v>9170</x:v>
      </x:c>
      <x:c r="Y44" s="15" t="n">
        <x:v>2303</x:v>
      </x:c>
      <x:c r="Z44" s="15" t="n">
        <x:v>7273</x:v>
      </x:c>
      <x:c r="AA44" s="15" t="n">
        <x:v>1868</x:v>
      </x:c>
      <x:c r="AB44" s="15" t="n">
        <x:v>6536</x:v>
      </x:c>
      <x:c r="AC44" s="15" t="n">
        <x:v>1889</x:v>
      </x:c>
      <x:c r="AD44" s="15" t="n">
        <x:v>8632</x:v>
      </x:c>
      <x:c r="AE44" s="15" t="n">
        <x:v>2119</x:v>
      </x:c>
      <x:c r="AF44" s="15" t="n">
        <x:v>27183</x:v>
      </x:c>
      <x:c r="AG44" s="15" t="n">
        <x:v>3246</x:v>
      </x:c>
      <x:c r="AH44" s="15" t="n">
        <x:v>12615</x:v>
      </x:c>
      <x:c r="AI44" s="15" t="n">
        <x:v>2138</x:v>
      </x:c>
    </x:row>
    <x:row r="45" ht="22" customHeight="1">
      <x:c r="A45" s="1" t="str">
        <x:v>310M700US12980</x:v>
      </x:c>
      <x:c r="B45" s="1" t="str">
        <x:v>12980</x:v>
      </x:c>
      <x:c r="C45" s="1" t="str">
        <x:v>Battle Creek, MI Metro Area</x:v>
      </x:c>
      <x:c r="D45" s="5" t="n">
        <x:v>2024</x:v>
      </x:c>
      <x:c r="E45" s="1" t="str">
        <x:v>ok</x:v>
      </x:c>
      <x:c r="F45" s="15" t="n">
        <x:v>14167</x:v>
      </x:c>
      <x:c r="G45" s="15" t="n">
        <x:v>731</x:v>
      </x:c>
      <x:c r="H45" s="15" t="n">
        <x:v>13436</x:v>
      </x:c>
      <x:c r="I45" s="15" t="n">
        <x:v>6059</x:v>
      </x:c>
      <x:c r="J45" s="15" t="n">
        <x:v>2612</x:v>
      </x:c>
      <x:c r="K45" s="15" t="n">
        <x:v>45.095266</x:v>
      </x:c>
      <x:c r="L45" s="15" t="n">
        <x:v>19.44031</x:v>
      </x:c>
      <x:c r="M45" s="15" t="n">
        <x:v>5.159879</x:v>
      </x:c>
      <x:c r="N45" s="15" t="n">
        <x:v>14167</x:v>
      </x:c>
      <x:c r="O45" s="15" t="n">
        <x:v>1481</x:v>
      </x:c>
      <x:c r="P45" s="15" t="n">
        <x:v>425</x:v>
      </x:c>
      <x:c r="Q45" s="15" t="n">
        <x:v>341</x:v>
      </x:c>
      <x:c r="R45" s="15" t="n">
        <x:v>842</x:v>
      </x:c>
      <x:c r="S45" s="15" t="n">
        <x:v>442</x:v>
      </x:c>
      <x:c r="T45" s="15" t="n">
        <x:v>2280</x:v>
      </x:c>
      <x:c r="U45" s="15" t="n">
        <x:v>775</x:v>
      </x:c>
      <x:c r="V45" s="15" t="n">
        <x:v>2274</x:v>
      </x:c>
      <x:c r="W45" s="15" t="n">
        <x:v>792</x:v>
      </x:c>
      <x:c r="X45" s="15" t="n">
        <x:v>1556</x:v>
      </x:c>
      <x:c r="Y45" s="15" t="n">
        <x:v>693</x:v>
      </x:c>
      <x:c r="Z45" s="15" t="n">
        <x:v>1573</x:v>
      </x:c>
      <x:c r="AA45" s="15" t="n">
        <x:v>670</x:v>
      </x:c>
      <x:c r="AB45" s="15" t="n">
        <x:v>787</x:v>
      </x:c>
      <x:c r="AC45" s="15" t="n">
        <x:v>484</x:v>
      </x:c>
      <x:c r="AD45" s="15" t="n">
        <x:v>1087</x:v>
      </x:c>
      <x:c r="AE45" s="15" t="n">
        <x:v>589</x:v>
      </x:c>
      <x:c r="AF45" s="15" t="n">
        <x:v>2612</x:v>
      </x:c>
      <x:c r="AG45" s="15" t="n">
        <x:v>851</x:v>
      </x:c>
      <x:c r="AH45" s="15" t="n">
        <x:v>731</x:v>
      </x:c>
      <x:c r="AI45" s="15" t="n">
        <x:v>359</x:v>
      </x:c>
    </x:row>
    <x:row r="46" ht="22" customHeight="1">
      <x:c r="A46" s="1" t="str">
        <x:v>310M700US13020</x:v>
      </x:c>
      <x:c r="B46" s="1" t="str">
        <x:v>13020</x:v>
      </x:c>
      <x:c r="C46" s="1" t="str">
        <x:v>Bay City, MI Metro Area</x:v>
      </x:c>
      <x:c r="D46" s="5" t="n">
        <x:v>2024</x:v>
      </x:c>
      <x:c r="E46" s="1" t="str">
        <x:v>ok</x:v>
      </x:c>
      <x:c r="F46" s="15" t="n">
        <x:v>10491</x:v>
      </x:c>
      <x:c r="G46" s="15" t="n">
        <x:v>678</x:v>
      </x:c>
      <x:c r="H46" s="15" t="n">
        <x:v>9813</x:v>
      </x:c>
      <x:c r="I46" s="15" t="n">
        <x:v>3505</x:v>
      </x:c>
      <x:c r="J46" s="15" t="n">
        <x:v>1881</x:v>
      </x:c>
      <x:c r="K46" s="15" t="n">
        <x:v>35.717925</x:v>
      </x:c>
      <x:c r="L46" s="15" t="n">
        <x:v>19.16845</x:v>
      </x:c>
      <x:c r="M46" s="15" t="n">
        <x:v>6.462682</x:v>
      </x:c>
      <x:c r="N46" s="15" t="n">
        <x:v>10491</x:v>
      </x:c>
      <x:c r="O46" s="15" t="n">
        <x:v>1460</x:v>
      </x:c>
      <x:c r="P46" s="15" t="n">
        <x:v>90</x:v>
      </x:c>
      <x:c r="Q46" s="15" t="n">
        <x:v>97</x:v>
      </x:c>
      <x:c r="R46" s="15" t="n">
        <x:v>1352</x:v>
      </x:c>
      <x:c r="S46" s="15" t="n">
        <x:v>746</x:v>
      </x:c>
      <x:c r="T46" s="15" t="n">
        <x:v>1331</x:v>
      </x:c>
      <x:c r="U46" s="15" t="n">
        <x:v>701</x:v>
      </x:c>
      <x:c r="V46" s="15" t="n">
        <x:v>1586</x:v>
      </x:c>
      <x:c r="W46" s="15" t="n">
        <x:v>876</x:v>
      </x:c>
      <x:c r="X46" s="15" t="n">
        <x:v>1949</x:v>
      </x:c>
      <x:c r="Y46" s="15" t="n">
        <x:v>807</x:v>
      </x:c>
      <x:c r="Z46" s="15" t="n">
        <x:v>516</x:v>
      </x:c>
      <x:c r="AA46" s="15" t="n">
        <x:v>316</x:v>
      </x:c>
      <x:c r="AB46" s="15" t="n">
        <x:v>713</x:v>
      </x:c>
      <x:c r="AC46" s="15" t="n">
        <x:v>564</x:v>
      </x:c>
      <x:c r="AD46" s="15" t="n">
        <x:v>395</x:v>
      </x:c>
      <x:c r="AE46" s="15" t="n">
        <x:v>350</x:v>
      </x:c>
      <x:c r="AF46" s="15" t="n">
        <x:v>1881</x:v>
      </x:c>
      <x:c r="AG46" s="15" t="n">
        <x:v>923</x:v>
      </x:c>
      <x:c r="AH46" s="15" t="n">
        <x:v>678</x:v>
      </x:c>
      <x:c r="AI46" s="15" t="n">
        <x:v>351</x:v>
      </x:c>
    </x:row>
    <x:row r="47" ht="22" customHeight="1">
      <x:c r="A47" s="1" t="str">
        <x:v>310M700US13140</x:v>
      </x:c>
      <x:c r="B47" s="1" t="str">
        <x:v>13140</x:v>
      </x:c>
      <x:c r="C47" s="1" t="str">
        <x:v>Beaumont-Port Arthur, TX Metro Area</x:v>
      </x:c>
      <x:c r="D47" s="5" t="n">
        <x:v>2024</x:v>
      </x:c>
      <x:c r="E47" s="1" t="str">
        <x:v>ok</x:v>
      </x:c>
      <x:c r="F47" s="15" t="n">
        <x:v>45451</x:v>
      </x:c>
      <x:c r="G47" s="15" t="n">
        <x:v>5798</x:v>
      </x:c>
      <x:c r="H47" s="15" t="n">
        <x:v>39653</x:v>
      </x:c>
      <x:c r="I47" s="15" t="n">
        <x:v>19475</x:v>
      </x:c>
      <x:c r="J47" s="15" t="n">
        <x:v>9241</x:v>
      </x:c>
      <x:c r="K47" s="15" t="n">
        <x:v>49.11356</x:v>
      </x:c>
      <x:c r="L47" s="15" t="n">
        <x:v>23.304668</x:v>
      </x:c>
      <x:c r="M47" s="15" t="n">
        <x:v>12.756595</x:v>
      </x:c>
      <x:c r="N47" s="15" t="n">
        <x:v>45451</x:v>
      </x:c>
      <x:c r="O47" s="15" t="n">
        <x:v>3659</x:v>
      </x:c>
      <x:c r="P47" s="15" t="n">
        <x:v>2082</x:v>
      </x:c>
      <x:c r="Q47" s="15" t="n">
        <x:v>962</x:v>
      </x:c>
      <x:c r="R47" s="15" t="n">
        <x:v>4770</x:v>
      </x:c>
      <x:c r="S47" s="15" t="n">
        <x:v>1680</x:v>
      </x:c>
      <x:c r="T47" s="15" t="n">
        <x:v>5097</x:v>
      </x:c>
      <x:c r="U47" s="15" t="n">
        <x:v>1904</x:v>
      </x:c>
      <x:c r="V47" s="15" t="n">
        <x:v>3122</x:v>
      </x:c>
      <x:c r="W47" s="15" t="n">
        <x:v>1248</x:v>
      </x:c>
      <x:c r="X47" s="15" t="n">
        <x:v>5107</x:v>
      </x:c>
      <x:c r="Y47" s="15" t="n">
        <x:v>1397</x:v>
      </x:c>
      <x:c r="Z47" s="15" t="n">
        <x:v>3890</x:v>
      </x:c>
      <x:c r="AA47" s="15" t="n">
        <x:v>1336</x:v>
      </x:c>
      <x:c r="AB47" s="15" t="n">
        <x:v>3192</x:v>
      </x:c>
      <x:c r="AC47" s="15" t="n">
        <x:v>1165</x:v>
      </x:c>
      <x:c r="AD47" s="15" t="n">
        <x:v>3152</x:v>
      </x:c>
      <x:c r="AE47" s="15" t="n">
        <x:v>1200</x:v>
      </x:c>
      <x:c r="AF47" s="15" t="n">
        <x:v>9241</x:v>
      </x:c>
      <x:c r="AG47" s="15" t="n">
        <x:v>2041</x:v>
      </x:c>
      <x:c r="AH47" s="15" t="n">
        <x:v>5798</x:v>
      </x:c>
      <x:c r="AI47" s="15" t="n">
        <x:v>1596</x:v>
      </x:c>
    </x:row>
    <x:row r="48" ht="22" customHeight="1">
      <x:c r="A48" s="1" t="str">
        <x:v>310M700US13220</x:v>
      </x:c>
      <x:c r="B48" s="1" t="str">
        <x:v>13220</x:v>
      </x:c>
      <x:c r="C48" s="1" t="str">
        <x:v>Beckley, WV Metro Area</x:v>
      </x:c>
      <x:c r="D48" s="5" t="n">
        <x:v>2024</x:v>
      </x:c>
      <x:c r="E48" s="1" t="str">
        <x:v>ok</x:v>
      </x:c>
      <x:c r="F48" s="15" t="n">
        <x:v>9280</x:v>
      </x:c>
      <x:c r="G48" s="15" t="n">
        <x:v>1718</x:v>
      </x:c>
      <x:c r="H48" s="15" t="n">
        <x:v>7562</x:v>
      </x:c>
      <x:c r="I48" s="15" t="n">
        <x:v>3734</x:v>
      </x:c>
      <x:c r="J48" s="15" t="n">
        <x:v>2110</x:v>
      </x:c>
      <x:c r="K48" s="15" t="n">
        <x:v>49.378471</x:v>
      </x:c>
      <x:c r="L48" s="15" t="n">
        <x:v>27.902671</x:v>
      </x:c>
      <x:c r="M48" s="15" t="n">
        <x:v>18.512931</x:v>
      </x:c>
      <x:c r="N48" s="15" t="n">
        <x:v>9280</x:v>
      </x:c>
      <x:c r="O48" s="15" t="n">
        <x:v>1515</x:v>
      </x:c>
      <x:c r="P48" s="15" t="n">
        <x:v>959</x:v>
      </x:c>
      <x:c r="Q48" s="15" t="n">
        <x:v>622</x:v>
      </x:c>
      <x:c r="R48" s="15" t="n">
        <x:v>627</x:v>
      </x:c>
      <x:c r="S48" s="15" t="n">
        <x:v>561</x:v>
      </x:c>
      <x:c r="T48" s="15" t="n">
        <x:v>630</x:v>
      </x:c>
      <x:c r="U48" s="15" t="n">
        <x:v>484</x:v>
      </x:c>
      <x:c r="V48" s="15" t="n">
        <x:v>1153</x:v>
      </x:c>
      <x:c r="W48" s="15" t="n">
        <x:v>660</x:v>
      </x:c>
      <x:c r="X48" s="15" t="n">
        <x:v>459</x:v>
      </x:c>
      <x:c r="Y48" s="15" t="n">
        <x:v>433</x:v>
      </x:c>
      <x:c r="Z48" s="15" t="n">
        <x:v>449</x:v>
      </x:c>
      <x:c r="AA48" s="15" t="n">
        <x:v>285</x:v>
      </x:c>
      <x:c r="AB48" s="15" t="n">
        <x:v>589</x:v>
      </x:c>
      <x:c r="AC48" s="15" t="n">
        <x:v>454</x:v>
      </x:c>
      <x:c r="AD48" s="15" t="n">
        <x:v>586</x:v>
      </x:c>
      <x:c r="AE48" s="15" t="n">
        <x:v>441</x:v>
      </x:c>
      <x:c r="AF48" s="15" t="n">
        <x:v>2110</x:v>
      </x:c>
      <x:c r="AG48" s="15" t="n">
        <x:v>865</x:v>
      </x:c>
      <x:c r="AH48" s="15" t="n">
        <x:v>1718</x:v>
      </x:c>
      <x:c r="AI48" s="15" t="n">
        <x:v>707</x:v>
      </x:c>
    </x:row>
    <x:row r="49" ht="22" customHeight="1">
      <x:c r="A49" s="1" t="str">
        <x:v>310M700US13380</x:v>
      </x:c>
      <x:c r="B49" s="1" t="str">
        <x:v>13380</x:v>
      </x:c>
      <x:c r="C49" s="1" t="str">
        <x:v>Bellingham, WA Metro Area</x:v>
      </x:c>
      <x:c r="D49" s="5" t="n">
        <x:v>2024</x:v>
      </x:c>
      <x:c r="E49" s="1" t="str">
        <x:v>ok</x:v>
      </x:c>
      <x:c r="F49" s="15" t="n">
        <x:v>33874</x:v>
      </x:c>
      <x:c r="G49" s="15" t="n">
        <x:v>1378</x:v>
      </x:c>
      <x:c r="H49" s="15" t="n">
        <x:v>32496</x:v>
      </x:c>
      <x:c r="I49" s="15" t="n">
        <x:v>18617</x:v>
      </x:c>
      <x:c r="J49" s="15" t="n">
        <x:v>9443</x:v>
      </x:c>
      <x:c r="K49" s="15" t="n">
        <x:v>57.290128</x:v>
      </x:c>
      <x:c r="L49" s="15" t="n">
        <x:v>29.058961</x:v>
      </x:c>
      <x:c r="M49" s="15" t="n">
        <x:v>4.068017</x:v>
      </x:c>
      <x:c r="N49" s="15" t="n">
        <x:v>33874</x:v>
      </x:c>
      <x:c r="O49" s="15" t="n">
        <x:v>2427</x:v>
      </x:c>
      <x:c r="P49" s="15" t="n">
        <x:v>1150</x:v>
      </x:c>
      <x:c r="Q49" s="15" t="n">
        <x:v>600</x:v>
      </x:c>
      <x:c r="R49" s="15" t="n">
        <x:v>1925</x:v>
      </x:c>
      <x:c r="S49" s="15" t="n">
        <x:v>637</x:v>
      </x:c>
      <x:c r="T49" s="15" t="n">
        <x:v>2748</x:v>
      </x:c>
      <x:c r="U49" s="15" t="n">
        <x:v>1132</x:v>
      </x:c>
      <x:c r="V49" s="15" t="n">
        <x:v>2656</x:v>
      </x:c>
      <x:c r="W49" s="15" t="n">
        <x:v>1054</x:v>
      </x:c>
      <x:c r="X49" s="15" t="n">
        <x:v>5400</x:v>
      </x:c>
      <x:c r="Y49" s="15" t="n">
        <x:v>1237</x:v>
      </x:c>
      <x:c r="Z49" s="15" t="n">
        <x:v>3852</x:v>
      </x:c>
      <x:c r="AA49" s="15" t="n">
        <x:v>1158</x:v>
      </x:c>
      <x:c r="AB49" s="15" t="n">
        <x:v>2940</x:v>
      </x:c>
      <x:c r="AC49" s="15" t="n">
        <x:v>1004</x:v>
      </x:c>
      <x:c r="AD49" s="15" t="n">
        <x:v>2382</x:v>
      </x:c>
      <x:c r="AE49" s="15" t="n">
        <x:v>831</x:v>
      </x:c>
      <x:c r="AF49" s="15" t="n">
        <x:v>9443</x:v>
      </x:c>
      <x:c r="AG49" s="15" t="n">
        <x:v>1876</x:v>
      </x:c>
      <x:c r="AH49" s="15" t="n">
        <x:v>1378</x:v>
      </x:c>
      <x:c r="AI49" s="15" t="n">
        <x:v>624</x:v>
      </x:c>
    </x:row>
    <x:row r="50" ht="22" customHeight="1">
      <x:c r="A50" s="1" t="str">
        <x:v>310M700US13460</x:v>
      </x:c>
      <x:c r="B50" s="1" t="str">
        <x:v>13460</x:v>
      </x:c>
      <x:c r="C50" s="1" t="str">
        <x:v>Bend, OR Metro Area</x:v>
      </x:c>
      <x:c r="D50" s="5" t="n">
        <x:v>2024</x:v>
      </x:c>
      <x:c r="E50" s="1" t="str">
        <x:v>ok</x:v>
      </x:c>
      <x:c r="F50" s="15" t="n">
        <x:v>34330</x:v>
      </x:c>
      <x:c r="G50" s="15" t="n">
        <x:v>2063</x:v>
      </x:c>
      <x:c r="H50" s="15" t="n">
        <x:v>32267</x:v>
      </x:c>
      <x:c r="I50" s="15" t="n">
        <x:v>15948</x:v>
      </x:c>
      <x:c r="J50" s="15" t="n">
        <x:v>6993</x:v>
      </x:c>
      <x:c r="K50" s="15" t="n">
        <x:v>49.425109</x:v>
      </x:c>
      <x:c r="L50" s="15" t="n">
        <x:v>21.672297</x:v>
      </x:c>
      <x:c r="M50" s="15" t="n">
        <x:v>6.009321</x:v>
      </x:c>
      <x:c r="N50" s="15" t="n">
        <x:v>34330</x:v>
      </x:c>
      <x:c r="O50" s="15" t="n">
        <x:v>3147</x:v>
      </x:c>
      <x:c r="P50" s="15" t="n">
        <x:v>729</x:v>
      </x:c>
      <x:c r="Q50" s="15" t="n">
        <x:v>491</x:v>
      </x:c>
      <x:c r="R50" s="15" t="n">
        <x:v>2766</x:v>
      </x:c>
      <x:c r="S50" s="15" t="n">
        <x:v>1143</x:v>
      </x:c>
      <x:c r="T50" s="15" t="n">
        <x:v>3252</x:v>
      </x:c>
      <x:c r="U50" s="15" t="n">
        <x:v>900</x:v>
      </x:c>
      <x:c r="V50" s="15" t="n">
        <x:v>5839</x:v>
      </x:c>
      <x:c r="W50" s="15" t="n">
        <x:v>1812</x:v>
      </x:c>
      <x:c r="X50" s="15" t="n">
        <x:v>3733</x:v>
      </x:c>
      <x:c r="Y50" s="15" t="n">
        <x:v>1424</x:v>
      </x:c>
      <x:c r="Z50" s="15" t="n">
        <x:v>2473</x:v>
      </x:c>
      <x:c r="AA50" s="15" t="n">
        <x:v>804</x:v>
      </x:c>
      <x:c r="AB50" s="15" t="n">
        <x:v>3575</x:v>
      </x:c>
      <x:c r="AC50" s="15" t="n">
        <x:v>1543</x:v>
      </x:c>
      <x:c r="AD50" s="15" t="n">
        <x:v>2907</x:v>
      </x:c>
      <x:c r="AE50" s="15" t="n">
        <x:v>1154</x:v>
      </x:c>
      <x:c r="AF50" s="15" t="n">
        <x:v>6993</x:v>
      </x:c>
      <x:c r="AG50" s="15" t="n">
        <x:v>1363</x:v>
      </x:c>
      <x:c r="AH50" s="15" t="n">
        <x:v>2063</x:v>
      </x:c>
      <x:c r="AI50" s="15" t="n">
        <x:v>742</x:v>
      </x:c>
    </x:row>
    <x:row r="51" ht="22" customHeight="1">
      <x:c r="A51" s="1" t="str">
        <x:v>310M700US13740</x:v>
      </x:c>
      <x:c r="B51" s="1" t="str">
        <x:v>13740</x:v>
      </x:c>
      <x:c r="C51" s="1" t="str">
        <x:v>Billings, MT Metro Area</x:v>
      </x:c>
      <x:c r="D51" s="5" t="n">
        <x:v>2024</x:v>
      </x:c>
      <x:c r="E51" s="1" t="str">
        <x:v>ok</x:v>
      </x:c>
      <x:c r="F51" s="15" t="n">
        <x:v>23072</x:v>
      </x:c>
      <x:c r="G51" s="15" t="n">
        <x:v>1871</x:v>
      </x:c>
      <x:c r="H51" s="15" t="n">
        <x:v>21201</x:v>
      </x:c>
      <x:c r="I51" s="15" t="n">
        <x:v>10775</x:v>
      </x:c>
      <x:c r="J51" s="15" t="n">
        <x:v>4982</x:v>
      </x:c>
      <x:c r="K51" s="15" t="n">
        <x:v>50.823074</x:v>
      </x:c>
      <x:c r="L51" s="15" t="n">
        <x:v>23.498892</x:v>
      </x:c>
      <x:c r="M51" s="15" t="n">
        <x:v>8.109397</x:v>
      </x:c>
      <x:c r="N51" s="15" t="n">
        <x:v>23072</x:v>
      </x:c>
      <x:c r="O51" s="15" t="n">
        <x:v>2367</x:v>
      </x:c>
      <x:c r="P51" s="15" t="n">
        <x:v>660</x:v>
      </x:c>
      <x:c r="Q51" s="15" t="n">
        <x:v>313</x:v>
      </x:c>
      <x:c r="R51" s="15" t="n">
        <x:v>2806</x:v>
      </x:c>
      <x:c r="S51" s="15" t="n">
        <x:v>1382</x:v>
      </x:c>
      <x:c r="T51" s="15" t="n">
        <x:v>1935</x:v>
      </x:c>
      <x:c r="U51" s="15" t="n">
        <x:v>803</x:v>
      </x:c>
      <x:c r="V51" s="15" t="n">
        <x:v>2313</x:v>
      </x:c>
      <x:c r="W51" s="15" t="n">
        <x:v>973</x:v>
      </x:c>
      <x:c r="X51" s="15" t="n">
        <x:v>2712</x:v>
      </x:c>
      <x:c r="Y51" s="15" t="n">
        <x:v>1266</x:v>
      </x:c>
      <x:c r="Z51" s="15" t="n">
        <x:v>2331</x:v>
      </x:c>
      <x:c r="AA51" s="15" t="n">
        <x:v>1317</x:v>
      </x:c>
      <x:c r="AB51" s="15" t="n">
        <x:v>1237</x:v>
      </x:c>
      <x:c r="AC51" s="15" t="n">
        <x:v>633</x:v>
      </x:c>
      <x:c r="AD51" s="15" t="n">
        <x:v>2225</x:v>
      </x:c>
      <x:c r="AE51" s="15" t="n">
        <x:v>1206</x:v>
      </x:c>
      <x:c r="AF51" s="15" t="n">
        <x:v>4982</x:v>
      </x:c>
      <x:c r="AG51" s="15" t="n">
        <x:v>1352</x:v>
      </x:c>
      <x:c r="AH51" s="15" t="n">
        <x:v>1871</x:v>
      </x:c>
      <x:c r="AI51" s="15" t="n">
        <x:v>932</x:v>
      </x:c>
    </x:row>
    <x:row r="52" ht="22" customHeight="1">
      <x:c r="A52" s="1" t="str">
        <x:v>310M700US13780</x:v>
      </x:c>
      <x:c r="B52" s="1" t="str">
        <x:v>13780</x:v>
      </x:c>
      <x:c r="C52" s="1" t="str">
        <x:v>Binghamton, NY Metro Area</x:v>
      </x:c>
      <x:c r="D52" s="5" t="n">
        <x:v>2024</x:v>
      </x:c>
      <x:c r="E52" s="1" t="str">
        <x:v>ok</x:v>
      </x:c>
      <x:c r="F52" s="15" t="n">
        <x:v>33273</x:v>
      </x:c>
      <x:c r="G52" s="15" t="n">
        <x:v>2253</x:v>
      </x:c>
      <x:c r="H52" s="15" t="n">
        <x:v>31020</x:v>
      </x:c>
      <x:c r="I52" s="15" t="n">
        <x:v>16571</x:v>
      </x:c>
      <x:c r="J52" s="15" t="n">
        <x:v>9826</x:v>
      </x:c>
      <x:c r="K52" s="15" t="n">
        <x:v>53.420374</x:v>
      </x:c>
      <x:c r="L52" s="15" t="n">
        <x:v>31.676338</x:v>
      </x:c>
      <x:c r="M52" s="15" t="n">
        <x:v>6.771256</x:v>
      </x:c>
      <x:c r="N52" s="15" t="n">
        <x:v>33273</x:v>
      </x:c>
      <x:c r="O52" s="15" t="n">
        <x:v>2249</x:v>
      </x:c>
      <x:c r="P52" s="15" t="n">
        <x:v>773</x:v>
      </x:c>
      <x:c r="Q52" s="15" t="n">
        <x:v>486</x:v>
      </x:c>
      <x:c r="R52" s="15" t="n">
        <x:v>3108</x:v>
      </x:c>
      <x:c r="S52" s="15" t="n">
        <x:v>1066</x:v>
      </x:c>
      <x:c r="T52" s="15" t="n">
        <x:v>4652</x:v>
      </x:c>
      <x:c r="U52" s="15" t="n">
        <x:v>1456</x:v>
      </x:c>
      <x:c r="V52" s="15" t="n">
        <x:v>2442</x:v>
      </x:c>
      <x:c r="W52" s="15" t="n">
        <x:v>623</x:v>
      </x:c>
      <x:c r="X52" s="15" t="n">
        <x:v>3474</x:v>
      </x:c>
      <x:c r="Y52" s="15" t="n">
        <x:v>895</x:v>
      </x:c>
      <x:c r="Z52" s="15" t="n">
        <x:v>2335</x:v>
      </x:c>
      <x:c r="AA52" s="15" t="n">
        <x:v>893</x:v>
      </x:c>
      <x:c r="AB52" s="15" t="n">
        <x:v>1519</x:v>
      </x:c>
      <x:c r="AC52" s="15" t="n">
        <x:v>732</x:v>
      </x:c>
      <x:c r="AD52" s="15" t="n">
        <x:v>2891</x:v>
      </x:c>
      <x:c r="AE52" s="15" t="n">
        <x:v>773</x:v>
      </x:c>
      <x:c r="AF52" s="15" t="n">
        <x:v>9826</x:v>
      </x:c>
      <x:c r="AG52" s="15" t="n">
        <x:v>1886</x:v>
      </x:c>
      <x:c r="AH52" s="15" t="n">
        <x:v>2253</x:v>
      </x:c>
      <x:c r="AI52" s="15" t="n">
        <x:v>764</x:v>
      </x:c>
    </x:row>
    <x:row r="53" ht="22" customHeight="1">
      <x:c r="A53" s="1" t="str">
        <x:v>310M700US13820</x:v>
      </x:c>
      <x:c r="B53" s="1" t="str">
        <x:v>13820</x:v>
      </x:c>
      <x:c r="C53" s="1" t="str">
        <x:v>Birmingham, AL Metro Area</x:v>
      </x:c>
      <x:c r="D53" s="5" t="n">
        <x:v>2024</x:v>
      </x:c>
      <x:c r="E53" s="1" t="str">
        <x:v>ok</x:v>
      </x:c>
      <x:c r="F53" s="15" t="n">
        <x:v>139037</x:v>
      </x:c>
      <x:c r="G53" s="15" t="n">
        <x:v>14734</x:v>
      </x:c>
      <x:c r="H53" s="15" t="n">
        <x:v>124303</x:v>
      </x:c>
      <x:c r="I53" s="15" t="n">
        <x:v>62436</x:v>
      </x:c>
      <x:c r="J53" s="15" t="n">
        <x:v>27241</x:v>
      </x:c>
      <x:c r="K53" s="15" t="n">
        <x:v>50.228876</x:v>
      </x:c>
      <x:c r="L53" s="15" t="n">
        <x:v>21.914998</x:v>
      </x:c>
      <x:c r="M53" s="15" t="n">
        <x:v>10.597179</x:v>
      </x:c>
      <x:c r="N53" s="15" t="n">
        <x:v>139037</x:v>
      </x:c>
      <x:c r="O53" s="15" t="n">
        <x:v>6101</x:v>
      </x:c>
      <x:c r="P53" s="15" t="n">
        <x:v>4236</x:v>
      </x:c>
      <x:c r="Q53" s="15" t="n">
        <x:v>1227</x:v>
      </x:c>
      <x:c r="R53" s="15" t="n">
        <x:v>9279</x:v>
      </x:c>
      <x:c r="S53" s="15" t="n">
        <x:v>1777</x:v>
      </x:c>
      <x:c r="T53" s="15" t="n">
        <x:v>13166</x:v>
      </x:c>
      <x:c r="U53" s="15" t="n">
        <x:v>2167</x:v>
      </x:c>
      <x:c r="V53" s="15" t="n">
        <x:v>16570</x:v>
      </x:c>
      <x:c r="W53" s="15" t="n">
        <x:v>2748</x:v>
      </x:c>
      <x:c r="X53" s="15" t="n">
        <x:v>18616</x:v>
      </x:c>
      <x:c r="Y53" s="15" t="n">
        <x:v>3079</x:v>
      </x:c>
      <x:c r="Z53" s="15" t="n">
        <x:v>14597</x:v>
      </x:c>
      <x:c r="AA53" s="15" t="n">
        <x:v>2939</x:v>
      </x:c>
      <x:c r="AB53" s="15" t="n">
        <x:v>8448</x:v>
      </x:c>
      <x:c r="AC53" s="15" t="n">
        <x:v>1873</x:v>
      </x:c>
      <x:c r="AD53" s="15" t="n">
        <x:v>12150</x:v>
      </x:c>
      <x:c r="AE53" s="15" t="n">
        <x:v>2567</x:v>
      </x:c>
      <x:c r="AF53" s="15" t="n">
        <x:v>27241</x:v>
      </x:c>
      <x:c r="AG53" s="15" t="n">
        <x:v>3071</x:v>
      </x:c>
      <x:c r="AH53" s="15" t="n">
        <x:v>14734</x:v>
      </x:c>
      <x:c r="AI53" s="15" t="n">
        <x:v>2288</x:v>
      </x:c>
    </x:row>
    <x:row r="54" ht="22" customHeight="1">
      <x:c r="A54" s="1" t="str">
        <x:v>310M700US13900</x:v>
      </x:c>
      <x:c r="B54" s="1" t="str">
        <x:v>13900</x:v>
      </x:c>
      <x:c r="C54" s="1" t="str">
        <x:v>Bismarck, ND Metro Area</x:v>
      </x:c>
      <x:c r="D54" s="5" t="n">
        <x:v>2024</x:v>
      </x:c>
      <x:c r="E54" s="1" t="str">
        <x:v>ok</x:v>
      </x:c>
      <x:c r="F54" s="15" t="n">
        <x:v>15828</x:v>
      </x:c>
      <x:c r="G54" s="15" t="n">
        <x:v>723</x:v>
      </x:c>
      <x:c r="H54" s="15" t="n">
        <x:v>15105</x:v>
      </x:c>
      <x:c r="I54" s="15" t="n">
        <x:v>3798</x:v>
      </x:c>
      <x:c r="J54" s="15" t="n">
        <x:v>1320</x:v>
      </x:c>
      <x:c r="K54" s="15" t="n">
        <x:v>25.143992</x:v>
      </x:c>
      <x:c r="L54" s="15" t="n">
        <x:v>8.738828</x:v>
      </x:c>
      <x:c r="M54" s="15" t="n">
        <x:v>4.567854</x:v>
      </x:c>
      <x:c r="N54" s="15" t="n">
        <x:v>15828</x:v>
      </x:c>
      <x:c r="O54" s="15" t="n">
        <x:v>1880</x:v>
      </x:c>
      <x:c r="P54" s="15" t="n">
        <x:v>958</x:v>
      </x:c>
      <x:c r="Q54" s="15" t="n">
        <x:v>657</x:v>
      </x:c>
      <x:c r="R54" s="15" t="n">
        <x:v>2447</x:v>
      </x:c>
      <x:c r="S54" s="15" t="n">
        <x:v>1056</x:v>
      </x:c>
      <x:c r="T54" s="15" t="n">
        <x:v>1896</x:v>
      </x:c>
      <x:c r="U54" s="15" t="n">
        <x:v>770</x:v>
      </x:c>
      <x:c r="V54" s="15" t="n">
        <x:v>3502</x:v>
      </x:c>
      <x:c r="W54" s="15" t="n">
        <x:v>1040</x:v>
      </x:c>
      <x:c r="X54" s="15" t="n">
        <x:v>2504</x:v>
      </x:c>
      <x:c r="Y54" s="15" t="n">
        <x:v>1100</x:v>
      </x:c>
      <x:c r="Z54" s="15" t="n">
        <x:v>912</x:v>
      </x:c>
      <x:c r="AA54" s="15" t="n">
        <x:v>589</x:v>
      </x:c>
      <x:c r="AB54" s="15" t="n">
        <x:v>710</x:v>
      </x:c>
      <x:c r="AC54" s="15" t="n">
        <x:v>517</x:v>
      </x:c>
      <x:c r="AD54" s="15" t="n">
        <x:v>856</x:v>
      </x:c>
      <x:c r="AE54" s="15" t="n">
        <x:v>529</x:v>
      </x:c>
      <x:c r="AF54" s="15" t="n">
        <x:v>1320</x:v>
      </x:c>
      <x:c r="AG54" s="15" t="n">
        <x:v>672</x:v>
      </x:c>
      <x:c r="AH54" s="15" t="n">
        <x:v>723</x:v>
      </x:c>
      <x:c r="AI54" s="15" t="n">
        <x:v>638</x:v>
      </x:c>
    </x:row>
    <x:row r="55" ht="22" customHeight="1">
      <x:c r="A55" s="1" t="str">
        <x:v>310M700US13980</x:v>
      </x:c>
      <x:c r="B55" s="1" t="str">
        <x:v>13980</x:v>
      </x:c>
      <x:c r="C55" s="1" t="str">
        <x:v>Blacksburg-Christiansburg-Radford, VA Metro Area</x:v>
      </x:c>
      <x:c r="D55" s="5" t="n">
        <x:v>2024</x:v>
      </x:c>
      <x:c r="E55" s="1" t="str">
        <x:v>ok</x:v>
      </x:c>
      <x:c r="F55" s="15" t="n">
        <x:v>24926</x:v>
      </x:c>
      <x:c r="G55" s="15" t="n">
        <x:v>2593</x:v>
      </x:c>
      <x:c r="H55" s="15" t="n">
        <x:v>22333</x:v>
      </x:c>
      <x:c r="I55" s="15" t="n">
        <x:v>11429</x:v>
      </x:c>
      <x:c r="J55" s="15" t="n">
        <x:v>6662</x:v>
      </x:c>
      <x:c r="K55" s="15" t="n">
        <x:v>51.175391</x:v>
      </x:c>
      <x:c r="L55" s="15" t="n">
        <x:v>29.830296</x:v>
      </x:c>
      <x:c r="M55" s="15" t="n">
        <x:v>10.402792</x:v>
      </x:c>
      <x:c r="N55" s="15" t="n">
        <x:v>24926</x:v>
      </x:c>
      <x:c r="O55" s="15" t="n">
        <x:v>2229</x:v>
      </x:c>
      <x:c r="P55" s="15" t="n">
        <x:v>1926</x:v>
      </x:c>
      <x:c r="Q55" s="15" t="n">
        <x:v>681</x:v>
      </x:c>
      <x:c r="R55" s="15" t="n">
        <x:v>2197</x:v>
      </x:c>
      <x:c r="S55" s="15" t="n">
        <x:v>879</x:v>
      </x:c>
      <x:c r="T55" s="15" t="n">
        <x:v>1931</x:v>
      </x:c>
      <x:c r="U55" s="15" t="n">
        <x:v>630</x:v>
      </x:c>
      <x:c r="V55" s="15" t="n">
        <x:v>2747</x:v>
      </x:c>
      <x:c r="W55" s="15" t="n">
        <x:v>924</x:v>
      </x:c>
      <x:c r="X55" s="15" t="n">
        <x:v>2103</x:v>
      </x:c>
      <x:c r="Y55" s="15" t="n">
        <x:v>830</x:v>
      </x:c>
      <x:c r="Z55" s="15" t="n">
        <x:v>2166</x:v>
      </x:c>
      <x:c r="AA55" s="15" t="n">
        <x:v>931</x:v>
      </x:c>
      <x:c r="AB55" s="15" t="n">
        <x:v>878</x:v>
      </x:c>
      <x:c r="AC55" s="15" t="n">
        <x:v>543</x:v>
      </x:c>
      <x:c r="AD55" s="15" t="n">
        <x:v>1723</x:v>
      </x:c>
      <x:c r="AE55" s="15" t="n">
        <x:v>837</x:v>
      </x:c>
      <x:c r="AF55" s="15" t="n">
        <x:v>6662</x:v>
      </x:c>
      <x:c r="AG55" s="15" t="n">
        <x:v>1381</x:v>
      </x:c>
      <x:c r="AH55" s="15" t="n">
        <x:v>2593</x:v>
      </x:c>
      <x:c r="AI55" s="15" t="n">
        <x:v>831</x:v>
      </x:c>
    </x:row>
    <x:row r="56" ht="22" customHeight="1">
      <x:c r="A56" s="1" t="str">
        <x:v>310M700US14010</x:v>
      </x:c>
      <x:c r="B56" s="1" t="str">
        <x:v>14010</x:v>
      </x:c>
      <x:c r="C56" s="1" t="str">
        <x:v>Bloomington, IL Metro Area</x:v>
      </x:c>
      <x:c r="D56" s="5" t="n">
        <x:v>2024</x:v>
      </x:c>
      <x:c r="E56" s="1" t="str">
        <x:v>ok</x:v>
      </x:c>
      <x:c r="F56" s="15" t="n">
        <x:v>25422</x:v>
      </x:c>
      <x:c r="G56" s="15" t="n">
        <x:v>2050</x:v>
      </x:c>
      <x:c r="H56" s="15" t="n">
        <x:v>23372</x:v>
      </x:c>
      <x:c r="I56" s="15" t="n">
        <x:v>10332</x:v>
      </x:c>
      <x:c r="J56" s="15" t="n">
        <x:v>5392</x:v>
      </x:c>
      <x:c r="K56" s="15" t="n">
        <x:v>44.206743</x:v>
      </x:c>
      <x:c r="L56" s="15" t="n">
        <x:v>23.070341</x:v>
      </x:c>
      <x:c r="M56" s="15" t="n">
        <x:v>8.063882</x:v>
      </x:c>
      <x:c r="N56" s="15" t="n">
        <x:v>25422</x:v>
      </x:c>
      <x:c r="O56" s="15" t="n">
        <x:v>1952</x:v>
      </x:c>
      <x:c r="P56" s="15" t="n">
        <x:v>977</x:v>
      </x:c>
      <x:c r="Q56" s="15" t="n">
        <x:v>488</x:v>
      </x:c>
      <x:c r="R56" s="15" t="n">
        <x:v>2859</x:v>
      </x:c>
      <x:c r="S56" s="15" t="n">
        <x:v>1071</x:v>
      </x:c>
      <x:c r="T56" s="15" t="n">
        <x:v>3721</x:v>
      </x:c>
      <x:c r="U56" s="15" t="n">
        <x:v>1229</x:v>
      </x:c>
      <x:c r="V56" s="15" t="n">
        <x:v>2457</x:v>
      </x:c>
      <x:c r="W56" s="15" t="n">
        <x:v>940</x:v>
      </x:c>
      <x:c r="X56" s="15" t="n">
        <x:v>3026</x:v>
      </x:c>
      <x:c r="Y56" s="15" t="n">
        <x:v>1185</x:v>
      </x:c>
      <x:c r="Z56" s="15" t="n">
        <x:v>1318</x:v>
      </x:c>
      <x:c r="AA56" s="15" t="n">
        <x:v>695</x:v>
      </x:c>
      <x:c r="AB56" s="15" t="n">
        <x:v>1073</x:v>
      </x:c>
      <x:c r="AC56" s="15" t="n">
        <x:v>724</x:v>
      </x:c>
      <x:c r="AD56" s="15" t="n">
        <x:v>2549</x:v>
      </x:c>
      <x:c r="AE56" s="15" t="n">
        <x:v>1099</x:v>
      </x:c>
      <x:c r="AF56" s="15" t="n">
        <x:v>5392</x:v>
      </x:c>
      <x:c r="AG56" s="15" t="n">
        <x:v>1313</x:v>
      </x:c>
      <x:c r="AH56" s="15" t="n">
        <x:v>2050</x:v>
      </x:c>
      <x:c r="AI56" s="15" t="n">
        <x:v>830</x:v>
      </x:c>
    </x:row>
    <x:row r="57" ht="22" customHeight="1">
      <x:c r="A57" s="1" t="str">
        <x:v>310M700US14020</x:v>
      </x:c>
      <x:c r="B57" s="1" t="str">
        <x:v>14020</x:v>
      </x:c>
      <x:c r="C57" s="1" t="str">
        <x:v>Bloomington, IN Metro Area</x:v>
      </x:c>
      <x:c r="D57" s="5" t="n">
        <x:v>2024</x:v>
      </x:c>
      <x:c r="E57" s="1" t="str">
        <x:v>ok</x:v>
      </x:c>
      <x:c r="F57" s="15" t="n">
        <x:v>29358</x:v>
      </x:c>
      <x:c r="G57" s="15" t="n">
        <x:v>2396</x:v>
      </x:c>
      <x:c r="H57" s="15" t="n">
        <x:v>26962</x:v>
      </x:c>
      <x:c r="I57" s="15" t="n">
        <x:v>16664</x:v>
      </x:c>
      <x:c r="J57" s="15" t="n">
        <x:v>8869</x:v>
      </x:c>
      <x:c r="K57" s="15" t="n">
        <x:v>61.805504</x:v>
      </x:c>
      <x:c r="L57" s="15" t="n">
        <x:v>32.894444</x:v>
      </x:c>
      <x:c r="M57" s="15" t="n">
        <x:v>8.161319</x:v>
      </x:c>
      <x:c r="N57" s="15" t="n">
        <x:v>29358</x:v>
      </x:c>
      <x:c r="O57" s="15" t="n">
        <x:v>2281</x:v>
      </x:c>
      <x:c r="P57" s="15" t="n">
        <x:v>1226</x:v>
      </x:c>
      <x:c r="Q57" s="15" t="n">
        <x:v>618</x:v>
      </x:c>
      <x:c r="R57" s="15" t="n">
        <x:v>2469</x:v>
      </x:c>
      <x:c r="S57" s="15" t="n">
        <x:v>957</x:v>
      </x:c>
      <x:c r="T57" s="15" t="n">
        <x:v>2145</x:v>
      </x:c>
      <x:c r="U57" s="15" t="n">
        <x:v>772</x:v>
      </x:c>
      <x:c r="V57" s="15" t="n">
        <x:v>2976</x:v>
      </x:c>
      <x:c r="W57" s="15" t="n">
        <x:v>997</x:v>
      </x:c>
      <x:c r="X57" s="15" t="n">
        <x:v>1482</x:v>
      </x:c>
      <x:c r="Y57" s="15" t="n">
        <x:v>587</x:v>
      </x:c>
      <x:c r="Z57" s="15" t="n">
        <x:v>2394</x:v>
      </x:c>
      <x:c r="AA57" s="15" t="n">
        <x:v>983</x:v>
      </x:c>
      <x:c r="AB57" s="15" t="n">
        <x:v>2326</x:v>
      </x:c>
      <x:c r="AC57" s="15" t="n">
        <x:v>993</x:v>
      </x:c>
      <x:c r="AD57" s="15" t="n">
        <x:v>3075</x:v>
      </x:c>
      <x:c r="AE57" s="15" t="n">
        <x:v>1253</x:v>
      </x:c>
      <x:c r="AF57" s="15" t="n">
        <x:v>8869</x:v>
      </x:c>
      <x:c r="AG57" s="15" t="n">
        <x:v>1744</x:v>
      </x:c>
      <x:c r="AH57" s="15" t="n">
        <x:v>2396</x:v>
      </x:c>
      <x:c r="AI57" s="15" t="n">
        <x:v>1097</x:v>
      </x:c>
    </x:row>
    <x:row r="58" ht="22" customHeight="1">
      <x:c r="A58" s="1" t="str">
        <x:v>310M700US14260</x:v>
      </x:c>
      <x:c r="B58" s="1" t="str">
        <x:v>14260</x:v>
      </x:c>
      <x:c r="C58" s="1" t="str">
        <x:v>Boise City, ID Metro Area</x:v>
      </x:c>
      <x:c r="D58" s="5" t="n">
        <x:v>2024</x:v>
      </x:c>
      <x:c r="E58" s="1" t="str">
        <x:v>ok</x:v>
      </x:c>
      <x:c r="F58" s="15" t="n">
        <x:v>90465</x:v>
      </x:c>
      <x:c r="G58" s="15" t="n">
        <x:v>4024</x:v>
      </x:c>
      <x:c r="H58" s="15" t="n">
        <x:v>86441</x:v>
      </x:c>
      <x:c r="I58" s="15" t="n">
        <x:v>44462</x:v>
      </x:c>
      <x:c r="J58" s="15" t="n">
        <x:v>21585</x:v>
      </x:c>
      <x:c r="K58" s="15" t="n">
        <x:v>51.43624</x:v>
      </x:c>
      <x:c r="L58" s="15" t="n">
        <x:v>24.970789</x:v>
      </x:c>
      <x:c r="M58" s="15" t="n">
        <x:v>4.448129</x:v>
      </x:c>
      <x:c r="N58" s="15" t="n">
        <x:v>90465</x:v>
      </x:c>
      <x:c r="O58" s="15" t="n">
        <x:v>4854</x:v>
      </x:c>
      <x:c r="P58" s="15" t="n">
        <x:v>3038</x:v>
      </x:c>
      <x:c r="Q58" s="15" t="n">
        <x:v>909</x:v>
      </x:c>
      <x:c r="R58" s="15" t="n">
        <x:v>5046</x:v>
      </x:c>
      <x:c r="S58" s="15" t="n">
        <x:v>1082</x:v>
      </x:c>
      <x:c r="T58" s="15" t="n">
        <x:v>11104</x:v>
      </x:c>
      <x:c r="U58" s="15" t="n">
        <x:v>1949</x:v>
      </x:c>
      <x:c r="V58" s="15" t="n">
        <x:v>12943</x:v>
      </x:c>
      <x:c r="W58" s="15" t="n">
        <x:v>2034</x:v>
      </x:c>
      <x:c r="X58" s="15" t="n">
        <x:v>9848</x:v>
      </x:c>
      <x:c r="Y58" s="15" t="n">
        <x:v>1869</x:v>
      </x:c>
      <x:c r="Z58" s="15" t="n">
        <x:v>9157</x:v>
      </x:c>
      <x:c r="AA58" s="15" t="n">
        <x:v>1697</x:v>
      </x:c>
      <x:c r="AB58" s="15" t="n">
        <x:v>7129</x:v>
      </x:c>
      <x:c r="AC58" s="15" t="n">
        <x:v>1489</x:v>
      </x:c>
      <x:c r="AD58" s="15" t="n">
        <x:v>6591</x:v>
      </x:c>
      <x:c r="AE58" s="15" t="n">
        <x:v>1252</x:v>
      </x:c>
      <x:c r="AF58" s="15" t="n">
        <x:v>21585</x:v>
      </x:c>
      <x:c r="AG58" s="15" t="n">
        <x:v>2473</x:v>
      </x:c>
      <x:c r="AH58" s="15" t="n">
        <x:v>4024</x:v>
      </x:c>
      <x:c r="AI58" s="15" t="n">
        <x:v>1017</x:v>
      </x:c>
    </x:row>
    <x:row r="59" ht="22" customHeight="1">
      <x:c r="A59" s="1" t="str">
        <x:v>310M700US14460</x:v>
      </x:c>
      <x:c r="B59" s="1" t="str">
        <x:v>14460</x:v>
      </x:c>
      <x:c r="C59" s="1" t="str">
        <x:v>Boston-Cambridge-Newton, MA-NH Metro Area</x:v>
      </x:c>
      <x:c r="D59" s="5" t="n">
        <x:v>2024</x:v>
      </x:c>
      <x:c r="E59" s="1" t="str">
        <x:v>ok</x:v>
      </x:c>
      <x:c r="F59" s="15" t="n">
        <x:v>768130</x:v>
      </x:c>
      <x:c r="G59" s="15" t="n">
        <x:v>45035</x:v>
      </x:c>
      <x:c r="H59" s="15" t="n">
        <x:v>723095</x:v>
      </x:c>
      <x:c r="I59" s="15" t="n">
        <x:v>372582</x:v>
      </x:c>
      <x:c r="J59" s="15" t="n">
        <x:v>182798</x:v>
      </x:c>
      <x:c r="K59" s="15" t="n">
        <x:v>51.52601</x:v>
      </x:c>
      <x:c r="L59" s="15" t="n">
        <x:v>25.279942</x:v>
      </x:c>
      <x:c r="M59" s="15" t="n">
        <x:v>5.86294</x:v>
      </x:c>
      <x:c r="N59" s="15" t="n">
        <x:v>768130</x:v>
      </x:c>
      <x:c r="O59" s="15" t="n">
        <x:v>13535</x:v>
      </x:c>
      <x:c r="P59" s="15" t="n">
        <x:v>28118</x:v>
      </x:c>
      <x:c r="Q59" s="15" t="n">
        <x:v>3222</x:v>
      </x:c>
      <x:c r="R59" s="15" t="n">
        <x:v>55833</x:v>
      </x:c>
      <x:c r="S59" s="15" t="n">
        <x:v>4830</x:v>
      </x:c>
      <x:c r="T59" s="15" t="n">
        <x:v>92130</x:v>
      </x:c>
      <x:c r="U59" s="15" t="n">
        <x:v>5303</x:v>
      </x:c>
      <x:c r="V59" s="15" t="n">
        <x:v>90724</x:v>
      </x:c>
      <x:c r="W59" s="15" t="n">
        <x:v>5843</x:v>
      </x:c>
      <x:c r="X59" s="15" t="n">
        <x:v>83708</x:v>
      </x:c>
      <x:c r="Y59" s="15" t="n">
        <x:v>4855</x:v>
      </x:c>
      <x:c r="Z59" s="15" t="n">
        <x:v>81673</x:v>
      </x:c>
      <x:c r="AA59" s="15" t="n">
        <x:v>5928</x:v>
      </x:c>
      <x:c r="AB59" s="15" t="n">
        <x:v>43406</x:v>
      </x:c>
      <x:c r="AC59" s="15" t="n">
        <x:v>4400</x:v>
      </x:c>
      <x:c r="AD59" s="15" t="n">
        <x:v>64705</x:v>
      </x:c>
      <x:c r="AE59" s="15" t="n">
        <x:v>4602</x:v>
      </x:c>
      <x:c r="AF59" s="15" t="n">
        <x:v>182798</x:v>
      </x:c>
      <x:c r="AG59" s="15" t="n">
        <x:v>7304</x:v>
      </x:c>
      <x:c r="AH59" s="15" t="n">
        <x:v>45035</x:v>
      </x:c>
      <x:c r="AI59" s="15" t="n">
        <x:v>5084</x:v>
      </x:c>
    </x:row>
    <x:row r="60" ht="22" customHeight="1">
      <x:c r="A60" s="1" t="str">
        <x:v>310M700US14500</x:v>
      </x:c>
      <x:c r="B60" s="1" t="str">
        <x:v>14500</x:v>
      </x:c>
      <x:c r="C60" s="1" t="str">
        <x:v>Boulder, CO Metro Area</x:v>
      </x:c>
      <x:c r="D60" s="5" t="n">
        <x:v>2024</x:v>
      </x:c>
      <x:c r="E60" s="1" t="str">
        <x:v>ok</x:v>
      </x:c>
      <x:c r="F60" s="15" t="n">
        <x:v>55386</x:v>
      </x:c>
      <x:c r="G60" s="15" t="n">
        <x:v>2992</x:v>
      </x:c>
      <x:c r="H60" s="15" t="n">
        <x:v>52394</x:v>
      </x:c>
      <x:c r="I60" s="15" t="n">
        <x:v>29771</x:v>
      </x:c>
      <x:c r="J60" s="15" t="n">
        <x:v>16602</x:v>
      </x:c>
      <x:c r="K60" s="15" t="n">
        <x:v>56.821392</x:v>
      </x:c>
      <x:c r="L60" s="15" t="n">
        <x:v>31.686834</x:v>
      </x:c>
      <x:c r="M60" s="15" t="n">
        <x:v>5.402087</x:v>
      </x:c>
      <x:c r="N60" s="15" t="n">
        <x:v>55386</x:v>
      </x:c>
      <x:c r="O60" s="15" t="n">
        <x:v>2938</x:v>
      </x:c>
      <x:c r="P60" s="15" t="n">
        <x:v>1091</x:v>
      </x:c>
      <x:c r="Q60" s="15" t="n">
        <x:v>463</x:v>
      </x:c>
      <x:c r="R60" s="15" t="n">
        <x:v>3399</x:v>
      </x:c>
      <x:c r="S60" s="15" t="n">
        <x:v>1184</x:v>
      </x:c>
      <x:c r="T60" s="15" t="n">
        <x:v>5240</x:v>
      </x:c>
      <x:c r="U60" s="15" t="n">
        <x:v>1274</x:v>
      </x:c>
      <x:c r="V60" s="15" t="n">
        <x:v>6376</x:v>
      </x:c>
      <x:c r="W60" s="15" t="n">
        <x:v>1667</x:v>
      </x:c>
      <x:c r="X60" s="15" t="n">
        <x:v>6517</x:v>
      </x:c>
      <x:c r="Y60" s="15" t="n">
        <x:v>1523</x:v>
      </x:c>
      <x:c r="Z60" s="15" t="n">
        <x:v>5085</x:v>
      </x:c>
      <x:c r="AA60" s="15" t="n">
        <x:v>1448</x:v>
      </x:c>
      <x:c r="AB60" s="15" t="n">
        <x:v>3800</x:v>
      </x:c>
      <x:c r="AC60" s="15" t="n">
        <x:v>1130</x:v>
      </x:c>
      <x:c r="AD60" s="15" t="n">
        <x:v>4284</x:v>
      </x:c>
      <x:c r="AE60" s="15" t="n">
        <x:v>1133</x:v>
      </x:c>
      <x:c r="AF60" s="15" t="n">
        <x:v>16602</x:v>
      </x:c>
      <x:c r="AG60" s="15" t="n">
        <x:v>2265</x:v>
      </x:c>
      <x:c r="AH60" s="15" t="n">
        <x:v>2992</x:v>
      </x:c>
      <x:c r="AI60" s="15" t="n">
        <x:v>980</x:v>
      </x:c>
    </x:row>
    <x:row r="61" ht="22" customHeight="1">
      <x:c r="A61" s="1" t="str">
        <x:v>310M700US14540</x:v>
      </x:c>
      <x:c r="B61" s="1" t="str">
        <x:v>14540</x:v>
      </x:c>
      <x:c r="C61" s="1" t="str">
        <x:v>Bowling Green, KY Metro Area</x:v>
      </x:c>
      <x:c r="D61" s="5" t="n">
        <x:v>2024</x:v>
      </x:c>
      <x:c r="E61" s="1" t="str">
        <x:v>ok</x:v>
      </x:c>
      <x:c r="F61" s="15" t="n">
        <x:v>32261</x:v>
      </x:c>
      <x:c r="G61" s="15" t="n">
        <x:v>3255</x:v>
      </x:c>
      <x:c r="H61" s="15" t="n">
        <x:v>29006</x:v>
      </x:c>
      <x:c r="I61" s="15" t="n">
        <x:v>12800</x:v>
      </x:c>
      <x:c r="J61" s="15" t="n">
        <x:v>6510</x:v>
      </x:c>
      <x:c r="K61" s="15" t="n">
        <x:v>44.128801</x:v>
      </x:c>
      <x:c r="L61" s="15" t="n">
        <x:v>22.443632</x:v>
      </x:c>
      <x:c r="M61" s="15" t="n">
        <x:v>10.089582</x:v>
      </x:c>
      <x:c r="N61" s="15" t="n">
        <x:v>32261</x:v>
      </x:c>
      <x:c r="O61" s="15" t="n">
        <x:v>2714</x:v>
      </x:c>
      <x:c r="P61" s="15" t="n">
        <x:v>2539</x:v>
      </x:c>
      <x:c r="Q61" s="15" t="n">
        <x:v>1244</x:v>
      </x:c>
      <x:c r="R61" s="15" t="n">
        <x:v>1213</x:v>
      </x:c>
      <x:c r="S61" s="15" t="n">
        <x:v>574</x:v>
      </x:c>
      <x:c r="T61" s="15" t="n">
        <x:v>4848</x:v>
      </x:c>
      <x:c r="U61" s="15" t="n">
        <x:v>1582</x:v>
      </x:c>
      <x:c r="V61" s="15" t="n">
        <x:v>5310</x:v>
      </x:c>
      <x:c r="W61" s="15" t="n">
        <x:v>1834</x:v>
      </x:c>
      <x:c r="X61" s="15" t="n">
        <x:v>2296</x:v>
      </x:c>
      <x:c r="Y61" s="15" t="n">
        <x:v>1156</x:v>
      </x:c>
      <x:c r="Z61" s="15" t="n">
        <x:v>2869</x:v>
      </x:c>
      <x:c r="AA61" s="15" t="n">
        <x:v>1155</x:v>
      </x:c>
      <x:c r="AB61" s="15" t="n">
        <x:v>1607</x:v>
      </x:c>
      <x:c r="AC61" s="15" t="n">
        <x:v>814</x:v>
      </x:c>
      <x:c r="AD61" s="15" t="n">
        <x:v>1814</x:v>
      </x:c>
      <x:c r="AE61" s="15" t="n">
        <x:v>1005</x:v>
      </x:c>
      <x:c r="AF61" s="15" t="n">
        <x:v>6510</x:v>
      </x:c>
      <x:c r="AG61" s="15" t="n">
        <x:v>1699</x:v>
      </x:c>
      <x:c r="AH61" s="15" t="n">
        <x:v>3255</x:v>
      </x:c>
      <x:c r="AI61" s="15" t="n">
        <x:v>1176</x:v>
      </x:c>
    </x:row>
    <x:row r="62" ht="22" customHeight="1">
      <x:c r="A62" s="1" t="str">
        <x:v>310M700US14580</x:v>
      </x:c>
      <x:c r="B62" s="1" t="str">
        <x:v>14580</x:v>
      </x:c>
      <x:c r="C62" s="1" t="str">
        <x:v>Bozeman, MT Metro Area</x:v>
      </x:c>
      <x:c r="D62" s="5" t="n">
        <x:v>2024</x:v>
      </x:c>
      <x:c r="E62" s="1" t="str">
        <x:v>ok</x:v>
      </x:c>
      <x:c r="F62" s="15" t="n">
        <x:v>22305</x:v>
      </x:c>
      <x:c r="G62" s="15" t="n">
        <x:v>731</x:v>
      </x:c>
      <x:c r="H62" s="15" t="n">
        <x:v>21574</x:v>
      </x:c>
      <x:c r="I62" s="15" t="n">
        <x:v>10051</x:v>
      </x:c>
      <x:c r="J62" s="15" t="n">
        <x:v>5228</x:v>
      </x:c>
      <x:c r="K62" s="15" t="n">
        <x:v>46.588486</x:v>
      </x:c>
      <x:c r="L62" s="15" t="n">
        <x:v>24.232873</x:v>
      </x:c>
      <x:c r="M62" s="15" t="n">
        <x:v>3.277292</x:v>
      </x:c>
      <x:c r="N62" s="15" t="n">
        <x:v>22305</x:v>
      </x:c>
      <x:c r="O62" s="15" t="n">
        <x:v>2174</x:v>
      </x:c>
      <x:c r="P62" s="15" t="n">
        <x:v>1736</x:v>
      </x:c>
      <x:c r="Q62" s="15" t="n">
        <x:v>976</x:v>
      </x:c>
      <x:c r="R62" s="15" t="n">
        <x:v>1904</x:v>
      </x:c>
      <x:c r="S62" s="15" t="n">
        <x:v>955</x:v>
      </x:c>
      <x:c r="T62" s="15" t="n">
        <x:v>3173</x:v>
      </x:c>
      <x:c r="U62" s="15" t="n">
        <x:v>1323</x:v>
      </x:c>
      <x:c r="V62" s="15" t="n">
        <x:v>2900</x:v>
      </x:c>
      <x:c r="W62" s="15" t="n">
        <x:v>1270</x:v>
      </x:c>
      <x:c r="X62" s="15" t="n">
        <x:v>1810</x:v>
      </x:c>
      <x:c r="Y62" s="15" t="n">
        <x:v>723</x:v>
      </x:c>
      <x:c r="Z62" s="15" t="n">
        <x:v>2100</x:v>
      </x:c>
      <x:c r="AA62" s="15" t="n">
        <x:v>1023</x:v>
      </x:c>
      <x:c r="AB62" s="15" t="n">
        <x:v>737</x:v>
      </x:c>
      <x:c r="AC62" s="15" t="n">
        <x:v>445</x:v>
      </x:c>
      <x:c r="AD62" s="15" t="n">
        <x:v>1986</x:v>
      </x:c>
      <x:c r="AE62" s="15" t="n">
        <x:v>965</x:v>
      </x:c>
      <x:c r="AF62" s="15" t="n">
        <x:v>5228</x:v>
      </x:c>
      <x:c r="AG62" s="15" t="n">
        <x:v>1665</x:v>
      </x:c>
      <x:c r="AH62" s="15" t="n">
        <x:v>731</x:v>
      </x:c>
      <x:c r="AI62" s="15" t="n">
        <x:v>383</x:v>
      </x:c>
    </x:row>
    <x:row r="63" ht="22" customHeight="1">
      <x:c r="A63" s="1" t="str">
        <x:v>310M700US14740</x:v>
      </x:c>
      <x:c r="B63" s="1" t="str">
        <x:v>14740</x:v>
      </x:c>
      <x:c r="C63" s="1" t="str">
        <x:v>Bremerton-Silverdale-Port Orchard, WA Metro Area</x:v>
      </x:c>
      <x:c r="D63" s="5" t="n">
        <x:v>2024</x:v>
      </x:c>
      <x:c r="E63" s="1" t="str">
        <x:v>ok</x:v>
      </x:c>
      <x:c r="F63" s="15" t="n">
        <x:v>35235</x:v>
      </x:c>
      <x:c r="G63" s="15" t="n">
        <x:v>1618</x:v>
      </x:c>
      <x:c r="H63" s="15" t="n">
        <x:v>33617</x:v>
      </x:c>
      <x:c r="I63" s="15" t="n">
        <x:v>19317</x:v>
      </x:c>
      <x:c r="J63" s="15" t="n">
        <x:v>8662</x:v>
      </x:c>
      <x:c r="K63" s="15" t="n">
        <x:v>57.461998</x:v>
      </x:c>
      <x:c r="L63" s="15" t="n">
        <x:v>25.766725</x:v>
      </x:c>
      <x:c r="M63" s="15" t="n">
        <x:v>4.592025</x:v>
      </x:c>
      <x:c r="N63" s="15" t="n">
        <x:v>35235</x:v>
      </x:c>
      <x:c r="O63" s="15" t="n">
        <x:v>2398</x:v>
      </x:c>
      <x:c r="P63" s="15" t="n">
        <x:v>385</x:v>
      </x:c>
      <x:c r="Q63" s="15" t="n">
        <x:v>219</x:v>
      </x:c>
      <x:c r="R63" s="15" t="n">
        <x:v>2126</x:v>
      </x:c>
      <x:c r="S63" s="15" t="n">
        <x:v>672</x:v>
      </x:c>
      <x:c r="T63" s="15" t="n">
        <x:v>3890</x:v>
      </x:c>
      <x:c r="U63" s="15" t="n">
        <x:v>1104</x:v>
      </x:c>
      <x:c r="V63" s="15" t="n">
        <x:v>4448</x:v>
      </x:c>
      <x:c r="W63" s="15" t="n">
        <x:v>1257</x:v>
      </x:c>
      <x:c r="X63" s="15" t="n">
        <x:v>3451</x:v>
      </x:c>
      <x:c r="Y63" s="15" t="n">
        <x:v>1115</x:v>
      </x:c>
      <x:c r="Z63" s="15" t="n">
        <x:v>3357</x:v>
      </x:c>
      <x:c r="AA63" s="15" t="n">
        <x:v>1062</x:v>
      </x:c>
      <x:c r="AB63" s="15" t="n">
        <x:v>5035</x:v>
      </x:c>
      <x:c r="AC63" s="15" t="n">
        <x:v>1286</x:v>
      </x:c>
      <x:c r="AD63" s="15" t="n">
        <x:v>2263</x:v>
      </x:c>
      <x:c r="AE63" s="15" t="n">
        <x:v>933</x:v>
      </x:c>
      <x:c r="AF63" s="15" t="n">
        <x:v>8662</x:v>
      </x:c>
      <x:c r="AG63" s="15" t="n">
        <x:v>1883</x:v>
      </x:c>
      <x:c r="AH63" s="15" t="n">
        <x:v>1618</x:v>
      </x:c>
      <x:c r="AI63" s="15" t="n">
        <x:v>746</x:v>
      </x:c>
    </x:row>
    <x:row r="64" ht="22" customHeight="1">
      <x:c r="A64" s="1" t="str">
        <x:v>310M700US14860</x:v>
      </x:c>
      <x:c r="B64" s="1" t="str">
        <x:v>14860</x:v>
      </x:c>
      <x:c r="C64" s="1" t="str">
        <x:v>Bridgeport-Stamford-Danbury, CT Metro Area</x:v>
      </x:c>
      <x:c r="D64" s="5" t="n">
        <x:v>2024</x:v>
      </x:c>
      <x:c r="E64" s="1" t="str">
        <x:v>ok</x:v>
      </x:c>
      <x:c r="F64" s="15" t="n">
        <x:v>120940</x:v>
      </x:c>
      <x:c r="G64" s="15" t="n">
        <x:v>5647</x:v>
      </x:c>
      <x:c r="H64" s="15" t="n">
        <x:v>115293</x:v>
      </x:c>
      <x:c r="I64" s="15" t="n">
        <x:v>65078</x:v>
      </x:c>
      <x:c r="J64" s="15" t="n">
        <x:v>34958</x:v>
      </x:c>
      <x:c r="K64" s="15" t="n">
        <x:v>56.445751</x:v>
      </x:c>
      <x:c r="L64" s="15" t="n">
        <x:v>30.321008</x:v>
      </x:c>
      <x:c r="M64" s="15" t="n">
        <x:v>4.669257</x:v>
      </x:c>
      <x:c r="N64" s="15" t="n">
        <x:v>120940</x:v>
      </x:c>
      <x:c r="O64" s="15" t="n">
        <x:v>4854</x:v>
      </x:c>
      <x:c r="P64" s="15" t="n">
        <x:v>5133</x:v>
      </x:c>
      <x:c r="Q64" s="15" t="n">
        <x:v>1606</x:v>
      </x:c>
      <x:c r="R64" s="15" t="n">
        <x:v>6205</x:v>
      </x:c>
      <x:c r="S64" s="15" t="n">
        <x:v>1221</x:v>
      </x:c>
      <x:c r="T64" s="15" t="n">
        <x:v>12480</x:v>
      </x:c>
      <x:c r="U64" s="15" t="n">
        <x:v>2489</x:v>
      </x:c>
      <x:c r="V64" s="15" t="n">
        <x:v>11621</x:v>
      </x:c>
      <x:c r="W64" s="15" t="n">
        <x:v>2161</x:v>
      </x:c>
      <x:c r="X64" s="15" t="n">
        <x:v>14776</x:v>
      </x:c>
      <x:c r="Y64" s="15" t="n">
        <x:v>1895</x:v>
      </x:c>
      <x:c r="Z64" s="15" t="n">
        <x:v>11260</x:v>
      </x:c>
      <x:c r="AA64" s="15" t="n">
        <x:v>2239</x:v>
      </x:c>
      <x:c r="AB64" s="15" t="n">
        <x:v>8281</x:v>
      </x:c>
      <x:c r="AC64" s="15" t="n">
        <x:v>1975</x:v>
      </x:c>
      <x:c r="AD64" s="15" t="n">
        <x:v>10579</x:v>
      </x:c>
      <x:c r="AE64" s="15" t="n">
        <x:v>2120</x:v>
      </x:c>
      <x:c r="AF64" s="15" t="n">
        <x:v>34958</x:v>
      </x:c>
      <x:c r="AG64" s="15" t="n">
        <x:v>3869</x:v>
      </x:c>
      <x:c r="AH64" s="15" t="n">
        <x:v>5647</x:v>
      </x:c>
      <x:c r="AI64" s="15" t="n">
        <x:v>1510</x:v>
      </x:c>
    </x:row>
    <x:row r="65" ht="22" customHeight="1">
      <x:c r="A65" s="1" t="str">
        <x:v>310M700US15180</x:v>
      </x:c>
      <x:c r="B65" s="1" t="str">
        <x:v>15180</x:v>
      </x:c>
      <x:c r="C65" s="1" t="str">
        <x:v>Brownsville-Harlingen, TX Metro Area</x:v>
      </x:c>
      <x:c r="D65" s="5" t="n">
        <x:v>2024</x:v>
      </x:c>
      <x:c r="E65" s="1" t="str">
        <x:v>ok</x:v>
      </x:c>
      <x:c r="F65" s="15" t="n">
        <x:v>51310</x:v>
      </x:c>
      <x:c r="G65" s="15" t="n">
        <x:v>5265</x:v>
      </x:c>
      <x:c r="H65" s="15" t="n">
        <x:v>46045</x:v>
      </x:c>
      <x:c r="I65" s="15" t="n">
        <x:v>24927</x:v>
      </x:c>
      <x:c r="J65" s="15" t="n">
        <x:v>10086</x:v>
      </x:c>
      <x:c r="K65" s="15" t="n">
        <x:v>54.136171</x:v>
      </x:c>
      <x:c r="L65" s="15" t="n">
        <x:v>21.904658</x:v>
      </x:c>
      <x:c r="M65" s="15" t="n">
        <x:v>10.261158</x:v>
      </x:c>
      <x:c r="N65" s="15" t="n">
        <x:v>51310</x:v>
      </x:c>
      <x:c r="O65" s="15" t="n">
        <x:v>3430</x:v>
      </x:c>
      <x:c r="P65" s="15" t="n">
        <x:v>1864</x:v>
      </x:c>
      <x:c r="Q65" s="15" t="n">
        <x:v>890</x:v>
      </x:c>
      <x:c r="R65" s="15" t="n">
        <x:v>4122</x:v>
      </x:c>
      <x:c r="S65" s="15" t="n">
        <x:v>1325</x:v>
      </x:c>
      <x:c r="T65" s="15" t="n">
        <x:v>5890</x:v>
      </x:c>
      <x:c r="U65" s="15" t="n">
        <x:v>1775</x:v>
      </x:c>
      <x:c r="V65" s="15" t="n">
        <x:v>5311</x:v>
      </x:c>
      <x:c r="W65" s="15" t="n">
        <x:v>1632</x:v>
      </x:c>
      <x:c r="X65" s="15" t="n">
        <x:v>3931</x:v>
      </x:c>
      <x:c r="Y65" s="15" t="n">
        <x:v>1393</x:v>
      </x:c>
      <x:c r="Z65" s="15" t="n">
        <x:v>5280</x:v>
      </x:c>
      <x:c r="AA65" s="15" t="n">
        <x:v>1586</x:v>
      </x:c>
      <x:c r="AB65" s="15" t="n">
        <x:v>3220</x:v>
      </x:c>
      <x:c r="AC65" s="15" t="n">
        <x:v>1169</x:v>
      </x:c>
      <x:c r="AD65" s="15" t="n">
        <x:v>6341</x:v>
      </x:c>
      <x:c r="AE65" s="15" t="n">
        <x:v>1572</x:v>
      </x:c>
      <x:c r="AF65" s="15" t="n">
        <x:v>10086</x:v>
      </x:c>
      <x:c r="AG65" s="15" t="n">
        <x:v>1982</x:v>
      </x:c>
      <x:c r="AH65" s="15" t="n">
        <x:v>5265</x:v>
      </x:c>
      <x:c r="AI65" s="15" t="n">
        <x:v>1251</x:v>
      </x:c>
    </x:row>
    <x:row r="66" ht="22" customHeight="1">
      <x:c r="A66" s="1" t="str">
        <x:v>310M700US15260</x:v>
      </x:c>
      <x:c r="B66" s="1" t="str">
        <x:v>15260</x:v>
      </x:c>
      <x:c r="C66" s="1" t="str">
        <x:v>Brunswick-St. Simons, GA Metro Area</x:v>
      </x:c>
      <x:c r="D66" s="5" t="n">
        <x:v>2024</x:v>
      </x:c>
      <x:c r="E66" s="1" t="str">
        <x:v>ok</x:v>
      </x:c>
      <x:c r="F66" s="15" t="n">
        <x:v>14077</x:v>
      </x:c>
      <x:c r="G66" s="15" t="n">
        <x:v>2166</x:v>
      </x:c>
      <x:c r="H66" s="15" t="n">
        <x:v>11911</x:v>
      </x:c>
      <x:c r="I66" s="15" t="n">
        <x:v>4908</x:v>
      </x:c>
      <x:c r="J66" s="15" t="n">
        <x:v>2821</x:v>
      </x:c>
      <x:c r="K66" s="15" t="n">
        <x:v>41.205608</x:v>
      </x:c>
      <x:c r="L66" s="15" t="n">
        <x:v>23.68399</x:v>
      </x:c>
      <x:c r="M66" s="15" t="n">
        <x:v>15.386801</x:v>
      </x:c>
      <x:c r="N66" s="15" t="n">
        <x:v>14077</x:v>
      </x:c>
      <x:c r="O66" s="15" t="n">
        <x:v>1806</x:v>
      </x:c>
      <x:c r="P66" s="15" t="n">
        <x:v>1976</x:v>
      </x:c>
      <x:c r="Q66" s="15" t="n">
        <x:v>1629</x:v>
      </x:c>
      <x:c r="R66" s="15" t="n">
        <x:v>1267</x:v>
      </x:c>
      <x:c r="S66" s="15" t="n">
        <x:v>875</x:v>
      </x:c>
      <x:c r="T66" s="15" t="n">
        <x:v>1791</x:v>
      </x:c>
      <x:c r="U66" s="15" t="n">
        <x:v>866</x:v>
      </x:c>
      <x:c r="V66" s="15" t="n">
        <x:v>1296</x:v>
      </x:c>
      <x:c r="W66" s="15" t="n">
        <x:v>679</x:v>
      </x:c>
      <x:c r="X66" s="15" t="n">
        <x:v>673</x:v>
      </x:c>
      <x:c r="Y66" s="15" t="n">
        <x:v>422</x:v>
      </x:c>
      <x:c r="Z66" s="15" t="n">
        <x:v>523</x:v>
      </x:c>
      <x:c r="AA66" s="15" t="n">
        <x:v>411</x:v>
      </x:c>
      <x:c r="AB66" s="15" t="n">
        <x:v>897</x:v>
      </x:c>
      <x:c r="AC66" s="15" t="n">
        <x:v>635</x:v>
      </x:c>
      <x:c r="AD66" s="15" t="n">
        <x:v>667</x:v>
      </x:c>
      <x:c r="AE66" s="15" t="n">
        <x:v>522</x:v>
      </x:c>
      <x:c r="AF66" s="15" t="n">
        <x:v>2821</x:v>
      </x:c>
      <x:c r="AG66" s="15" t="n">
        <x:v>1221</x:v>
      </x:c>
      <x:c r="AH66" s="15" t="n">
        <x:v>2166</x:v>
      </x:c>
      <x:c r="AI66" s="15" t="n">
        <x:v>1132</x:v>
      </x:c>
    </x:row>
    <x:row r="67" ht="22" customHeight="1">
      <x:c r="A67" s="1" t="str">
        <x:v>310M700US15380</x:v>
      </x:c>
      <x:c r="B67" s="1" t="str">
        <x:v>15380</x:v>
      </x:c>
      <x:c r="C67" s="1" t="str">
        <x:v>Buffalo-Cheektowaga, NY Metro Area</x:v>
      </x:c>
      <x:c r="D67" s="5" t="n">
        <x:v>2024</x:v>
      </x:c>
      <x:c r="E67" s="1" t="str">
        <x:v>ok</x:v>
      </x:c>
      <x:c r="F67" s="15" t="n">
        <x:v>157396</x:v>
      </x:c>
      <x:c r="G67" s="15" t="n">
        <x:v>9944</x:v>
      </x:c>
      <x:c r="H67" s="15" t="n">
        <x:v>147452</x:v>
      </x:c>
      <x:c r="I67" s="15" t="n">
        <x:v>71120</x:v>
      </x:c>
      <x:c r="J67" s="15" t="n">
        <x:v>39966</x:v>
      </x:c>
      <x:c r="K67" s="15" t="n">
        <x:v>48.232645</x:v>
      </x:c>
      <x:c r="L67" s="15" t="n">
        <x:v>27.104414</x:v>
      </x:c>
      <x:c r="M67" s="15" t="n">
        <x:v>6.317823</x:v>
      </x:c>
      <x:c r="N67" s="15" t="n">
        <x:v>157396</x:v>
      </x:c>
      <x:c r="O67" s="15" t="n">
        <x:v>4957</x:v>
      </x:c>
      <x:c r="P67" s="15" t="n">
        <x:v>7890</x:v>
      </x:c>
      <x:c r="Q67" s="15" t="n">
        <x:v>1766</x:v>
      </x:c>
      <x:c r="R67" s="15" t="n">
        <x:v>14922</x:v>
      </x:c>
      <x:c r="S67" s="15" t="n">
        <x:v>2629</x:v>
      </x:c>
      <x:c r="T67" s="15" t="n">
        <x:v>18933</x:v>
      </x:c>
      <x:c r="U67" s="15" t="n">
        <x:v>2624</x:v>
      </x:c>
      <x:c r="V67" s="15" t="n">
        <x:v>17624</x:v>
      </x:c>
      <x:c r="W67" s="15" t="n">
        <x:v>2358</x:v>
      </x:c>
      <x:c r="X67" s="15" t="n">
        <x:v>16963</x:v>
      </x:c>
      <x:c r="Y67" s="15" t="n">
        <x:v>2392</x:v>
      </x:c>
      <x:c r="Z67" s="15" t="n">
        <x:v>12763</x:v>
      </x:c>
      <x:c r="AA67" s="15" t="n">
        <x:v>2381</x:v>
      </x:c>
      <x:c r="AB67" s="15" t="n">
        <x:v>8911</x:v>
      </x:c>
      <x:c r="AC67" s="15" t="n">
        <x:v>1960</x:v>
      </x:c>
      <x:c r="AD67" s="15" t="n">
        <x:v>9480</x:v>
      </x:c>
      <x:c r="AE67" s="15" t="n">
        <x:v>1886</x:v>
      </x:c>
      <x:c r="AF67" s="15" t="n">
        <x:v>39966</x:v>
      </x:c>
      <x:c r="AG67" s="15" t="n">
        <x:v>3838</x:v>
      </x:c>
      <x:c r="AH67" s="15" t="n">
        <x:v>9944</x:v>
      </x:c>
      <x:c r="AI67" s="15" t="n">
        <x:v>1890</x:v>
      </x:c>
    </x:row>
    <x:row r="68" ht="22" customHeight="1">
      <x:c r="A68" s="1" t="str">
        <x:v>310M700US15500</x:v>
      </x:c>
      <x:c r="B68" s="1" t="str">
        <x:v>15500</x:v>
      </x:c>
      <x:c r="C68" s="1" t="str">
        <x:v>Burlington, NC Metro Area</x:v>
      </x:c>
      <x:c r="D68" s="5" t="n">
        <x:v>2024</x:v>
      </x:c>
      <x:c r="E68" s="1" t="str">
        <x:v>ok</x:v>
      </x:c>
      <x:c r="F68" s="15" t="n">
        <x:v>26679</x:v>
      </x:c>
      <x:c r="G68" s="15" t="n">
        <x:v>2265</x:v>
      </x:c>
      <x:c r="H68" s="15" t="n">
        <x:v>24414</x:v>
      </x:c>
      <x:c r="I68" s="15" t="n">
        <x:v>12124</x:v>
      </x:c>
      <x:c r="J68" s="15" t="n">
        <x:v>5047</x:v>
      </x:c>
      <x:c r="K68" s="15" t="n">
        <x:v>49.660031</x:v>
      </x:c>
      <x:c r="L68" s="15" t="n">
        <x:v>20.672565</x:v>
      </x:c>
      <x:c r="M68" s="15" t="n">
        <x:v>8.489823</x:v>
      </x:c>
      <x:c r="N68" s="15" t="n">
        <x:v>26679</x:v>
      </x:c>
      <x:c r="O68" s="15" t="n">
        <x:v>2736</x:v>
      </x:c>
      <x:c r="P68" s="15" t="n">
        <x:v>659</x:v>
      </x:c>
      <x:c r="Q68" s="15" t="n">
        <x:v>400</x:v>
      </x:c>
      <x:c r="R68" s="15" t="n">
        <x:v>2459</x:v>
      </x:c>
      <x:c r="S68" s="15" t="n">
        <x:v>956</x:v>
      </x:c>
      <x:c r="T68" s="15" t="n">
        <x:v>2208</x:v>
      </x:c>
      <x:c r="U68" s="15" t="n">
        <x:v>938</x:v>
      </x:c>
      <x:c r="V68" s="15" t="n">
        <x:v>3298</x:v>
      </x:c>
      <x:c r="W68" s="15" t="n">
        <x:v>1143</x:v>
      </x:c>
      <x:c r="X68" s="15" t="n">
        <x:v>3666</x:v>
      </x:c>
      <x:c r="Y68" s="15" t="n">
        <x:v>1561</x:v>
      </x:c>
      <x:c r="Z68" s="15" t="n">
        <x:v>1851</x:v>
      </x:c>
      <x:c r="AA68" s="15" t="n">
        <x:v>796</x:v>
      </x:c>
      <x:c r="AB68" s="15" t="n">
        <x:v>2588</x:v>
      </x:c>
      <x:c r="AC68" s="15" t="n">
        <x:v>1051</x:v>
      </x:c>
      <x:c r="AD68" s="15" t="n">
        <x:v>2638</x:v>
      </x:c>
      <x:c r="AE68" s="15" t="n">
        <x:v>1350</x:v>
      </x:c>
      <x:c r="AF68" s="15" t="n">
        <x:v>5047</x:v>
      </x:c>
      <x:c r="AG68" s="15" t="n">
        <x:v>1494</x:v>
      </x:c>
      <x:c r="AH68" s="15" t="n">
        <x:v>2265</x:v>
      </x:c>
      <x:c r="AI68" s="15" t="n">
        <x:v>862</x:v>
      </x:c>
    </x:row>
    <x:row r="69" ht="22" customHeight="1">
      <x:c r="A69" s="1" t="str">
        <x:v>310M700US15540</x:v>
      </x:c>
      <x:c r="B69" s="1" t="str">
        <x:v>15540</x:v>
      </x:c>
      <x:c r="C69" s="1" t="str">
        <x:v>Burlington-South Burlington, VT Metro Area</x:v>
      </x:c>
      <x:c r="D69" s="5" t="n">
        <x:v>2024</x:v>
      </x:c>
      <x:c r="E69" s="1" t="str">
        <x:v>ok</x:v>
      </x:c>
      <x:c r="F69" s="15" t="n">
        <x:v>31596</x:v>
      </x:c>
      <x:c r="G69" s="15" t="n">
        <x:v>1106</x:v>
      </x:c>
      <x:c r="H69" s="15" t="n">
        <x:v>30490</x:v>
      </x:c>
      <x:c r="I69" s="15" t="n">
        <x:v>14652</x:v>
      </x:c>
      <x:c r="J69" s="15" t="n">
        <x:v>7196</x:v>
      </x:c>
      <x:c r="K69" s="15" t="n">
        <x:v>48.0551</x:v>
      </x:c>
      <x:c r="L69" s="15" t="n">
        <x:v>23.601181</x:v>
      </x:c>
      <x:c r="M69" s="15" t="n">
        <x:v>3.500443</x:v>
      </x:c>
      <x:c r="N69" s="15" t="n">
        <x:v>31596</x:v>
      </x:c>
      <x:c r="O69" s="15" t="n">
        <x:v>2406</x:v>
      </x:c>
      <x:c r="P69" s="15" t="n">
        <x:v>1125</x:v>
      </x:c>
      <x:c r="Q69" s="15" t="n">
        <x:v>633</x:v>
      </x:c>
      <x:c r="R69" s="15" t="n">
        <x:v>2773</x:v>
      </x:c>
      <x:c r="S69" s="15" t="n">
        <x:v>1002</x:v>
      </x:c>
      <x:c r="T69" s="15" t="n">
        <x:v>3154</x:v>
      </x:c>
      <x:c r="U69" s="15" t="n">
        <x:v>1102</x:v>
      </x:c>
      <x:c r="V69" s="15" t="n">
        <x:v>4809</x:v>
      </x:c>
      <x:c r="W69" s="15" t="n">
        <x:v>1239</x:v>
      </x:c>
      <x:c r="X69" s="15" t="n">
        <x:v>3977</x:v>
      </x:c>
      <x:c r="Y69" s="15" t="n">
        <x:v>1036</x:v>
      </x:c>
      <x:c r="Z69" s="15" t="n">
        <x:v>2921</x:v>
      </x:c>
      <x:c r="AA69" s="15" t="n">
        <x:v>971</x:v>
      </x:c>
      <x:c r="AB69" s="15" t="n">
        <x:v>2312</x:v>
      </x:c>
      <x:c r="AC69" s="15" t="n">
        <x:v>831</x:v>
      </x:c>
      <x:c r="AD69" s="15" t="n">
        <x:v>2223</x:v>
      </x:c>
      <x:c r="AE69" s="15" t="n">
        <x:v>1403</x:v>
      </x:c>
      <x:c r="AF69" s="15" t="n">
        <x:v>7196</x:v>
      </x:c>
      <x:c r="AG69" s="15" t="n">
        <x:v>1535</x:v>
      </x:c>
      <x:c r="AH69" s="15" t="n">
        <x:v>1106</x:v>
      </x:c>
      <x:c r="AI69" s="15" t="n">
        <x:v>475</x:v>
      </x:c>
    </x:row>
    <x:row r="70" ht="22" customHeight="1">
      <x:c r="A70" s="1" t="str">
        <x:v>310M700US15940</x:v>
      </x:c>
      <x:c r="B70" s="1" t="str">
        <x:v>15940</x:v>
      </x:c>
      <x:c r="C70" s="1" t="str">
        <x:v>Canton-Massillon, OH Metro Area</x:v>
      </x:c>
      <x:c r="D70" s="5" t="n">
        <x:v>2024</x:v>
      </x:c>
      <x:c r="E70" s="1" t="str">
        <x:v>ok</x:v>
      </x:c>
      <x:c r="F70" s="15" t="n">
        <x:v>47145</x:v>
      </x:c>
      <x:c r="G70" s="15" t="n">
        <x:v>5222</x:v>
      </x:c>
      <x:c r="H70" s="15" t="n">
        <x:v>41923</x:v>
      </x:c>
      <x:c r="I70" s="15" t="n">
        <x:v>16442</x:v>
      </x:c>
      <x:c r="J70" s="15" t="n">
        <x:v>8713</x:v>
      </x:c>
      <x:c r="K70" s="15" t="n">
        <x:v>39.219522</x:v>
      </x:c>
      <x:c r="L70" s="15" t="n">
        <x:v>20.783341</x:v>
      </x:c>
      <x:c r="M70" s="15" t="n">
        <x:v>11.076466</x:v>
      </x:c>
      <x:c r="N70" s="15" t="n">
        <x:v>47145</x:v>
      </x:c>
      <x:c r="O70" s="15" t="n">
        <x:v>3271</x:v>
      </x:c>
      <x:c r="P70" s="15" t="n">
        <x:v>2181</x:v>
      </x:c>
      <x:c r="Q70" s="15" t="n">
        <x:v>795</x:v>
      </x:c>
      <x:c r="R70" s="15" t="n">
        <x:v>5576</x:v>
      </x:c>
      <x:c r="S70" s="15" t="n">
        <x:v>1451</x:v>
      </x:c>
      <x:c r="T70" s="15" t="n">
        <x:v>6800</x:v>
      </x:c>
      <x:c r="U70" s="15" t="n">
        <x:v>1757</x:v>
      </x:c>
      <x:c r="V70" s="15" t="n">
        <x:v>5701</x:v>
      </x:c>
      <x:c r="W70" s="15" t="n">
        <x:v>1275</x:v>
      </x:c>
      <x:c r="X70" s="15" t="n">
        <x:v>5223</x:v>
      </x:c>
      <x:c r="Y70" s="15" t="n">
        <x:v>1248</x:v>
      </x:c>
      <x:c r="Z70" s="15" t="n">
        <x:v>2614</x:v>
      </x:c>
      <x:c r="AA70" s="15" t="n">
        <x:v>1073</x:v>
      </x:c>
      <x:c r="AB70" s="15" t="n">
        <x:v>2228</x:v>
      </x:c>
      <x:c r="AC70" s="15" t="n">
        <x:v>817</x:v>
      </x:c>
      <x:c r="AD70" s="15" t="n">
        <x:v>2887</x:v>
      </x:c>
      <x:c r="AE70" s="15" t="n">
        <x:v>815</x:v>
      </x:c>
      <x:c r="AF70" s="15" t="n">
        <x:v>8713</x:v>
      </x:c>
      <x:c r="AG70" s="15" t="n">
        <x:v>1782</x:v>
      </x:c>
      <x:c r="AH70" s="15" t="n">
        <x:v>5222</x:v>
      </x:c>
      <x:c r="AI70" s="15" t="n">
        <x:v>1593</x:v>
      </x:c>
    </x:row>
    <x:row r="71" ht="22" customHeight="1">
      <x:c r="A71" s="1" t="str">
        <x:v>310M700US15980</x:v>
      </x:c>
      <x:c r="B71" s="1" t="str">
        <x:v>15980</x:v>
      </x:c>
      <x:c r="C71" s="1" t="str">
        <x:v>Cape Coral-Fort Myers, FL Metro Area</x:v>
      </x:c>
      <x:c r="D71" s="5" t="n">
        <x:v>2024</x:v>
      </x:c>
      <x:c r="E71" s="1" t="str">
        <x:v>ok</x:v>
      </x:c>
      <x:c r="F71" s="15" t="n">
        <x:v>79414</x:v>
      </x:c>
      <x:c r="G71" s="15" t="n">
        <x:v>3983</x:v>
      </x:c>
      <x:c r="H71" s="15" t="n">
        <x:v>75431</x:v>
      </x:c>
      <x:c r="I71" s="15" t="n">
        <x:v>43864</x:v>
      </x:c>
      <x:c r="J71" s="15" t="n">
        <x:v>23715</x:v>
      </x:c>
      <x:c r="K71" s="15" t="n">
        <x:v>58.151158</x:v>
      </x:c>
      <x:c r="L71" s="15" t="n">
        <x:v>31.439329</x:v>
      </x:c>
      <x:c r="M71" s="15" t="n">
        <x:v>5.015488</x:v>
      </x:c>
      <x:c r="N71" s="15" t="n">
        <x:v>79414</x:v>
      </x:c>
      <x:c r="O71" s="15" t="n">
        <x:v>5467</x:v>
      </x:c>
      <x:c r="P71" s="15" t="n">
        <x:v>1239</x:v>
      </x:c>
      <x:c r="Q71" s="15" t="n">
        <x:v>617</x:v>
      </x:c>
      <x:c r="R71" s="15" t="n">
        <x:v>3012</x:v>
      </x:c>
      <x:c r="S71" s="15" t="n">
        <x:v>1064</x:v>
      </x:c>
      <x:c r="T71" s="15" t="n">
        <x:v>6426</x:v>
      </x:c>
      <x:c r="U71" s="15" t="n">
        <x:v>1548</x:v>
      </x:c>
      <x:c r="V71" s="15" t="n">
        <x:v>11230</x:v>
      </x:c>
      <x:c r="W71" s="15" t="n">
        <x:v>2330</x:v>
      </x:c>
      <x:c r="X71" s="15" t="n">
        <x:v>9660</x:v>
      </x:c>
      <x:c r="Y71" s="15" t="n">
        <x:v>1923</x:v>
      </x:c>
      <x:c r="Z71" s="15" t="n">
        <x:v>7996</x:v>
      </x:c>
      <x:c r="AA71" s="15" t="n">
        <x:v>1694</x:v>
      </x:c>
      <x:c r="AB71" s="15" t="n">
        <x:v>5996</x:v>
      </x:c>
      <x:c r="AC71" s="15" t="n">
        <x:v>1557</x:v>
      </x:c>
      <x:c r="AD71" s="15" t="n">
        <x:v>6157</x:v>
      </x:c>
      <x:c r="AE71" s="15" t="n">
        <x:v>1321</x:v>
      </x:c>
      <x:c r="AF71" s="15" t="n">
        <x:v>23715</x:v>
      </x:c>
      <x:c r="AG71" s="15" t="n">
        <x:v>3243</x:v>
      </x:c>
      <x:c r="AH71" s="15" t="n">
        <x:v>3983</x:v>
      </x:c>
      <x:c r="AI71" s="15" t="n">
        <x:v>1216</x:v>
      </x:c>
    </x:row>
    <x:row r="72" ht="22" customHeight="1">
      <x:c r="A72" s="1" t="str">
        <x:v>310M700US16020</x:v>
      </x:c>
      <x:c r="B72" s="1" t="str">
        <x:v>16020</x:v>
      </x:c>
      <x:c r="C72" s="1" t="str">
        <x:v>Cape Girardeau, MO-IL Metro Area</x:v>
      </x:c>
      <x:c r="D72" s="5" t="n">
        <x:v>2024</x:v>
      </x:c>
      <x:c r="E72" s="1" t="str">
        <x:v>ok</x:v>
      </x:c>
      <x:c r="F72" s="15" t="n">
        <x:v>10243</x:v>
      </x:c>
      <x:c r="G72" s="15" t="n">
        <x:v>1430</x:v>
      </x:c>
      <x:c r="H72" s="15" t="n">
        <x:v>8813</x:v>
      </x:c>
      <x:c r="I72" s="15" t="n">
        <x:v>3518</x:v>
      </x:c>
      <x:c r="J72" s="15" t="n">
        <x:v>1676</x:v>
      </x:c>
      <x:c r="K72" s="15" t="n">
        <x:v>39.918303</x:v>
      </x:c>
      <x:c r="L72" s="15" t="n">
        <x:v>19.017361</x:v>
      </x:c>
      <x:c r="M72" s="15" t="n">
        <x:v>13.960754</x:v>
      </x:c>
      <x:c r="N72" s="15" t="n">
        <x:v>10243</x:v>
      </x:c>
      <x:c r="O72" s="15" t="n">
        <x:v>1604</x:v>
      </x:c>
      <x:c r="P72" s="15" t="n">
        <x:v>642</x:v>
      </x:c>
      <x:c r="Q72" s="15" t="n">
        <x:v>494</x:v>
      </x:c>
      <x:c r="R72" s="15" t="n">
        <x:v>1034</x:v>
      </x:c>
      <x:c r="S72" s="15" t="n">
        <x:v>495</x:v>
      </x:c>
      <x:c r="T72" s="15" t="n">
        <x:v>1813</x:v>
      </x:c>
      <x:c r="U72" s="15" t="n">
        <x:v>765</x:v>
      </x:c>
      <x:c r="V72" s="15" t="n">
        <x:v>866</x:v>
      </x:c>
      <x:c r="W72" s="15" t="n">
        <x:v>400</x:v>
      </x:c>
      <x:c r="X72" s="15" t="n">
        <x:v>940</x:v>
      </x:c>
      <x:c r="Y72" s="15" t="n">
        <x:v>519</x:v>
      </x:c>
      <x:c r="Z72" s="15" t="n">
        <x:v>801</x:v>
      </x:c>
      <x:c r="AA72" s="15" t="n">
        <x:v>406</x:v>
      </x:c>
      <x:c r="AB72" s="15" t="n">
        <x:v>239</x:v>
      </x:c>
      <x:c r="AC72" s="15" t="n">
        <x:v>235</x:v>
      </x:c>
      <x:c r="AD72" s="15" t="n">
        <x:v>802</x:v>
      </x:c>
      <x:c r="AE72" s="15" t="n">
        <x:v>516</x:v>
      </x:c>
      <x:c r="AF72" s="15" t="n">
        <x:v>1676</x:v>
      </x:c>
      <x:c r="AG72" s="15" t="n">
        <x:v>708</x:v>
      </x:c>
      <x:c r="AH72" s="15" t="n">
        <x:v>1430</x:v>
      </x:c>
      <x:c r="AI72" s="15" t="n">
        <x:v>747</x:v>
      </x:c>
    </x:row>
    <x:row r="73" ht="22" customHeight="1">
      <x:c r="A73" s="1" t="str">
        <x:v>310M700US16180</x:v>
      </x:c>
      <x:c r="B73" s="1" t="str">
        <x:v>16180</x:v>
      </x:c>
      <x:c r="C73" s="1" t="str">
        <x:v>Carson City, NV Metro Area</x:v>
      </x:c>
      <x:c r="D73" s="5" t="n">
        <x:v>2024</x:v>
      </x:c>
      <x:c r="E73" s="1" t="str">
        <x:v>ok</x:v>
      </x:c>
      <x:c r="F73" s="15" t="n">
        <x:v>9845</x:v>
      </x:c>
      <x:c r="G73" s="15" t="n">
        <x:v>452</x:v>
      </x:c>
      <x:c r="H73" s="15" t="n">
        <x:v>9393</x:v>
      </x:c>
      <x:c r="I73" s="15" t="n">
        <x:v>5099</x:v>
      </x:c>
      <x:c r="J73" s="15" t="n">
        <x:v>2322</x:v>
      </x:c>
      <x:c r="K73" s="15" t="n">
        <x:v>54.285106</x:v>
      </x:c>
      <x:c r="L73" s="15" t="n">
        <x:v>24.720537</x:v>
      </x:c>
      <x:c r="M73" s="15" t="n">
        <x:v>4.591163</x:v>
      </x:c>
      <x:c r="N73" s="15" t="n">
        <x:v>9845</x:v>
      </x:c>
      <x:c r="O73" s="15" t="n">
        <x:v>1168</x:v>
      </x:c>
      <x:c r="P73" s="15" t="n">
        <x:v>91</x:v>
      </x:c>
      <x:c r="Q73" s="15" t="n">
        <x:v>109</x:v>
      </x:c>
      <x:c r="R73" s="15" t="n">
        <x:v>231</x:v>
      </x:c>
      <x:c r="S73" s="15" t="n">
        <x:v>272</x:v>
      </x:c>
      <x:c r="T73" s="15" t="n">
        <x:v>954</x:v>
      </x:c>
      <x:c r="U73" s="15" t="n">
        <x:v>645</x:v>
      </x:c>
      <x:c r="V73" s="15" t="n">
        <x:v>1487</x:v>
      </x:c>
      <x:c r="W73" s="15" t="n">
        <x:v>691</x:v>
      </x:c>
      <x:c r="X73" s="15" t="n">
        <x:v>1531</x:v>
      </x:c>
      <x:c r="Y73" s="15" t="n">
        <x:v>691</x:v>
      </x:c>
      <x:c r="Z73" s="15" t="n">
        <x:v>433</x:v>
      </x:c>
      <x:c r="AA73" s="15" t="n">
        <x:v>323</x:v>
      </x:c>
      <x:c r="AB73" s="15" t="n">
        <x:v>1198</x:v>
      </x:c>
      <x:c r="AC73" s="15" t="n">
        <x:v>811</x:v>
      </x:c>
      <x:c r="AD73" s="15" t="n">
        <x:v>1146</x:v>
      </x:c>
      <x:c r="AE73" s="15" t="n">
        <x:v>649</x:v>
      </x:c>
      <x:c r="AF73" s="15" t="n">
        <x:v>2322</x:v>
      </x:c>
      <x:c r="AG73" s="15" t="n">
        <x:v>816</x:v>
      </x:c>
      <x:c r="AH73" s="15" t="n">
        <x:v>452</x:v>
      </x:c>
      <x:c r="AI73" s="15" t="n">
        <x:v>320</x:v>
      </x:c>
    </x:row>
    <x:row r="74" ht="22" customHeight="1">
      <x:c r="A74" s="1" t="str">
        <x:v>310M700US16220</x:v>
      </x:c>
      <x:c r="B74" s="1" t="str">
        <x:v>16220</x:v>
      </x:c>
      <x:c r="C74" s="1" t="str">
        <x:v>Casper, WY Metro Area</x:v>
      </x:c>
      <x:c r="D74" s="5" t="n">
        <x:v>2024</x:v>
      </x:c>
      <x:c r="E74" s="1" t="str">
        <x:v>ok</x:v>
      </x:c>
      <x:c r="F74" s="15" t="n">
        <x:v>9982</x:v>
      </x:c>
      <x:c r="G74" s="15" t="n">
        <x:v>528</x:v>
      </x:c>
      <x:c r="H74" s="15" t="n">
        <x:v>9454</x:v>
      </x:c>
      <x:c r="I74" s="15" t="n">
        <x:v>4474</x:v>
      </x:c>
      <x:c r="J74" s="15" t="n">
        <x:v>2031</x:v>
      </x:c>
      <x:c r="K74" s="15" t="n">
        <x:v>47.323884</x:v>
      </x:c>
      <x:c r="L74" s="15" t="n">
        <x:v>21.48297</x:v>
      </x:c>
      <x:c r="M74" s="15" t="n">
        <x:v>5.289521</x:v>
      </x:c>
      <x:c r="N74" s="15" t="n">
        <x:v>9982</x:v>
      </x:c>
      <x:c r="O74" s="15" t="n">
        <x:v>1540</x:v>
      </x:c>
      <x:c r="P74" s="15" t="n">
        <x:v>276</x:v>
      </x:c>
      <x:c r="Q74" s="15" t="n">
        <x:v>343</x:v>
      </x:c>
      <x:c r="R74" s="15" t="n">
        <x:v>707</x:v>
      </x:c>
      <x:c r="S74" s="15" t="n">
        <x:v>488</x:v>
      </x:c>
      <x:c r="T74" s="15" t="n">
        <x:v>1421</x:v>
      </x:c>
      <x:c r="U74" s="15" t="n">
        <x:v>780</x:v>
      </x:c>
      <x:c r="V74" s="15" t="n">
        <x:v>1399</x:v>
      </x:c>
      <x:c r="W74" s="15" t="n">
        <x:v>736</x:v>
      </x:c>
      <x:c r="X74" s="15" t="n">
        <x:v>1177</x:v>
      </x:c>
      <x:c r="Y74" s="15" t="n">
        <x:v>604</x:v>
      </x:c>
      <x:c r="Z74" s="15" t="n">
        <x:v>911</x:v>
      </x:c>
      <x:c r="AA74" s="15" t="n">
        <x:v>577</x:v>
      </x:c>
      <x:c r="AB74" s="15" t="n">
        <x:v>669</x:v>
      </x:c>
      <x:c r="AC74" s="15" t="n">
        <x:v>483</x:v>
      </x:c>
      <x:c r="AD74" s="15" t="n">
        <x:v>863</x:v>
      </x:c>
      <x:c r="AE74" s="15" t="n">
        <x:v>559</x:v>
      </x:c>
      <x:c r="AF74" s="15" t="n">
        <x:v>2031</x:v>
      </x:c>
      <x:c r="AG74" s="15" t="n">
        <x:v>926</x:v>
      </x:c>
      <x:c r="AH74" s="15" t="n">
        <x:v>528</x:v>
      </x:c>
      <x:c r="AI74" s="15" t="n">
        <x:v>353</x:v>
      </x:c>
    </x:row>
    <x:row r="75" ht="22" customHeight="1">
      <x:c r="A75" s="1" t="str">
        <x:v>310M700US16300</x:v>
      </x:c>
      <x:c r="B75" s="1" t="str">
        <x:v>16300</x:v>
      </x:c>
      <x:c r="C75" s="1" t="str">
        <x:v>Cedar Rapids, IA Metro Area</x:v>
      </x:c>
      <x:c r="D75" s="5" t="n">
        <x:v>2024</x:v>
      </x:c>
      <x:c r="E75" s="1" t="str">
        <x:v>ok</x:v>
      </x:c>
      <x:c r="F75" s="15" t="n">
        <x:v>31149</x:v>
      </x:c>
      <x:c r="G75" s="15" t="n">
        <x:v>2470</x:v>
      </x:c>
      <x:c r="H75" s="15" t="n">
        <x:v>28679</x:v>
      </x:c>
      <x:c r="I75" s="15" t="n">
        <x:v>13171</x:v>
      </x:c>
      <x:c r="J75" s="15" t="n">
        <x:v>5512</x:v>
      </x:c>
      <x:c r="K75" s="15" t="n">
        <x:v>45.92559</x:v>
      </x:c>
      <x:c r="L75" s="15" t="n">
        <x:v>19.219638</x:v>
      </x:c>
      <x:c r="M75" s="15" t="n">
        <x:v>7.929629</x:v>
      </x:c>
      <x:c r="N75" s="15" t="n">
        <x:v>31149</x:v>
      </x:c>
      <x:c r="O75" s="15" t="n">
        <x:v>2507</x:v>
      </x:c>
      <x:c r="P75" s="15" t="n">
        <x:v>1809</x:v>
      </x:c>
      <x:c r="Q75" s="15" t="n">
        <x:v>807</x:v>
      </x:c>
      <x:c r="R75" s="15" t="n">
        <x:v>2124</x:v>
      </x:c>
      <x:c r="S75" s="15" t="n">
        <x:v>662</x:v>
      </x:c>
      <x:c r="T75" s="15" t="n">
        <x:v>4236</x:v>
      </x:c>
      <x:c r="U75" s="15" t="n">
        <x:v>859</x:v>
      </x:c>
      <x:c r="V75" s="15" t="n">
        <x:v>3077</x:v>
      </x:c>
      <x:c r="W75" s="15" t="n">
        <x:v>1112</x:v>
      </x:c>
      <x:c r="X75" s="15" t="n">
        <x:v>4262</x:v>
      </x:c>
      <x:c r="Y75" s="15" t="n">
        <x:v>1144</x:v>
      </x:c>
      <x:c r="Z75" s="15" t="n">
        <x:v>3307</x:v>
      </x:c>
      <x:c r="AA75" s="15" t="n">
        <x:v>1204</x:v>
      </x:c>
      <x:c r="AB75" s="15" t="n">
        <x:v>1142</x:v>
      </x:c>
      <x:c r="AC75" s="15" t="n">
        <x:v>636</x:v>
      </x:c>
      <x:c r="AD75" s="15" t="n">
        <x:v>3210</x:v>
      </x:c>
      <x:c r="AE75" s="15" t="n">
        <x:v>1109</x:v>
      </x:c>
      <x:c r="AF75" s="15" t="n">
        <x:v>5512</x:v>
      </x:c>
      <x:c r="AG75" s="15" t="n">
        <x:v>1232</x:v>
      </x:c>
      <x:c r="AH75" s="15" t="n">
        <x:v>2470</x:v>
      </x:c>
      <x:c r="AI75" s="15" t="n">
        <x:v>1058</x:v>
      </x:c>
    </x:row>
    <x:row r="76" ht="22" customHeight="1">
      <x:c r="A76" s="1" t="str">
        <x:v>310M700US16540</x:v>
      </x:c>
      <x:c r="B76" s="1" t="str">
        <x:v>16540</x:v>
      </x:c>
      <x:c r="C76" s="1" t="str">
        <x:v>Chambersburg, PA Metro Area</x:v>
      </x:c>
      <x:c r="D76" s="5" t="n">
        <x:v>2024</x:v>
      </x:c>
      <x:c r="E76" s="1" t="str">
        <x:v>ok</x:v>
      </x:c>
      <x:c r="F76" s="15" t="n">
        <x:v>17296</x:v>
      </x:c>
      <x:c r="G76" s="15" t="n">
        <x:v>1209</x:v>
      </x:c>
      <x:c r="H76" s="15" t="n">
        <x:v>16087</x:v>
      </x:c>
      <x:c r="I76" s="15" t="n">
        <x:v>8092</x:v>
      </x:c>
      <x:c r="J76" s="15" t="n">
        <x:v>2745</x:v>
      </x:c>
      <x:c r="K76" s="15" t="n">
        <x:v>50.301486</x:v>
      </x:c>
      <x:c r="L76" s="15" t="n">
        <x:v>17.063467</x:v>
      </x:c>
      <x:c r="M76" s="15" t="n">
        <x:v>6.990056</x:v>
      </x:c>
      <x:c r="N76" s="15" t="n">
        <x:v>17296</x:v>
      </x:c>
      <x:c r="O76" s="15" t="n">
        <x:v>2141</x:v>
      </x:c>
      <x:c r="P76" s="15" t="n">
        <x:v>902</x:v>
      </x:c>
      <x:c r="Q76" s="15" t="n">
        <x:v>479</x:v>
      </x:c>
      <x:c r="R76" s="15" t="n">
        <x:v>1362</x:v>
      </x:c>
      <x:c r="S76" s="15" t="n">
        <x:v>511</x:v>
      </x:c>
      <x:c r="T76" s="15" t="n">
        <x:v>2531</x:v>
      </x:c>
      <x:c r="U76" s="15" t="n">
        <x:v>883</x:v>
      </x:c>
      <x:c r="V76" s="15" t="n">
        <x:v>1716</x:v>
      </x:c>
      <x:c r="W76" s="15" t="n">
        <x:v>698</x:v>
      </x:c>
      <x:c r="X76" s="15" t="n">
        <x:v>1484</x:v>
      </x:c>
      <x:c r="Y76" s="15" t="n">
        <x:v>648</x:v>
      </x:c>
      <x:c r="Z76" s="15" t="n">
        <x:v>2148</x:v>
      </x:c>
      <x:c r="AA76" s="15" t="n">
        <x:v>842</x:v>
      </x:c>
      <x:c r="AB76" s="15" t="n">
        <x:v>1889</x:v>
      </x:c>
      <x:c r="AC76" s="15" t="n">
        <x:v>1048</x:v>
      </x:c>
      <x:c r="AD76" s="15" t="n">
        <x:v>1310</x:v>
      </x:c>
      <x:c r="AE76" s="15" t="n">
        <x:v>740</x:v>
      </x:c>
      <x:c r="AF76" s="15" t="n">
        <x:v>2745</x:v>
      </x:c>
      <x:c r="AG76" s="15" t="n">
        <x:v>985</x:v>
      </x:c>
      <x:c r="AH76" s="15" t="n">
        <x:v>1209</x:v>
      </x:c>
      <x:c r="AI76" s="15" t="n">
        <x:v>509</x:v>
      </x:c>
    </x:row>
    <x:row r="77" ht="22" customHeight="1">
      <x:c r="A77" s="1" t="str">
        <x:v>310M700US16580</x:v>
      </x:c>
      <x:c r="B77" s="1" t="str">
        <x:v>16580</x:v>
      </x:c>
      <x:c r="C77" s="1" t="str">
        <x:v>Champaign-Urbana, IL Metro Area</x:v>
      </x:c>
      <x:c r="D77" s="5" t="n">
        <x:v>2024</x:v>
      </x:c>
      <x:c r="E77" s="1" t="str">
        <x:v>ok</x:v>
      </x:c>
      <x:c r="F77" s="15" t="n">
        <x:v>45328</x:v>
      </x:c>
      <x:c r="G77" s="15" t="n">
        <x:v>6652</x:v>
      </x:c>
      <x:c r="H77" s="15" t="n">
        <x:v>38676</x:v>
      </x:c>
      <x:c r="I77" s="15" t="n">
        <x:v>19780</x:v>
      </x:c>
      <x:c r="J77" s="15" t="n">
        <x:v>10307</x:v>
      </x:c>
      <x:c r="K77" s="15" t="n">
        <x:v>51.142828</x:v>
      </x:c>
      <x:c r="L77" s="15" t="n">
        <x:v>26.649602</x:v>
      </x:c>
      <x:c r="M77" s="15" t="n">
        <x:v>14.675256</x:v>
      </x:c>
      <x:c r="N77" s="15" t="n">
        <x:v>45328</x:v>
      </x:c>
      <x:c r="O77" s="15" t="n">
        <x:v>2330</x:v>
      </x:c>
      <x:c r="P77" s="15" t="n">
        <x:v>1850</x:v>
      </x:c>
      <x:c r="Q77" s="15" t="n">
        <x:v>907</x:v>
      </x:c>
      <x:c r="R77" s="15" t="n">
        <x:v>3580</x:v>
      </x:c>
      <x:c r="S77" s="15" t="n">
        <x:v>1219</x:v>
      </x:c>
      <x:c r="T77" s="15" t="n">
        <x:v>3857</x:v>
      </x:c>
      <x:c r="U77" s="15" t="n">
        <x:v>1267</x:v>
      </x:c>
      <x:c r="V77" s="15" t="n">
        <x:v>5568</x:v>
      </x:c>
      <x:c r="W77" s="15" t="n">
        <x:v>1276</x:v>
      </x:c>
      <x:c r="X77" s="15" t="n">
        <x:v>4041</x:v>
      </x:c>
      <x:c r="Y77" s="15" t="n">
        <x:v>1228</x:v>
      </x:c>
      <x:c r="Z77" s="15" t="n">
        <x:v>2655</x:v>
      </x:c>
      <x:c r="AA77" s="15" t="n">
        <x:v>997</x:v>
      </x:c>
      <x:c r="AB77" s="15" t="n">
        <x:v>2804</x:v>
      </x:c>
      <x:c r="AC77" s="15" t="n">
        <x:v>950</x:v>
      </x:c>
      <x:c r="AD77" s="15" t="n">
        <x:v>4014</x:v>
      </x:c>
      <x:c r="AE77" s="15" t="n">
        <x:v>1443</x:v>
      </x:c>
      <x:c r="AF77" s="15" t="n">
        <x:v>10307</x:v>
      </x:c>
      <x:c r="AG77" s="15" t="n">
        <x:v>1748</x:v>
      </x:c>
      <x:c r="AH77" s="15" t="n">
        <x:v>6652</x:v>
      </x:c>
      <x:c r="AI77" s="15" t="n">
        <x:v>1510</x:v>
      </x:c>
    </x:row>
    <x:row r="78" ht="22" customHeight="1">
      <x:c r="A78" s="1" t="str">
        <x:v>310M700US16620</x:v>
      </x:c>
      <x:c r="B78" s="1" t="str">
        <x:v>16620</x:v>
      </x:c>
      <x:c r="C78" s="1" t="str">
        <x:v>Charleston, WV Metro Area</x:v>
      </x:c>
      <x:c r="D78" s="5" t="n">
        <x:v>2024</x:v>
      </x:c>
      <x:c r="E78" s="1" t="str">
        <x:v>ok</x:v>
      </x:c>
      <x:c r="F78" s="15" t="n">
        <x:v>21246</x:v>
      </x:c>
      <x:c r="G78" s="15" t="n">
        <x:v>2229</x:v>
      </x:c>
      <x:c r="H78" s="15" t="n">
        <x:v>19017</x:v>
      </x:c>
      <x:c r="I78" s="15" t="n">
        <x:v>8281</x:v>
      </x:c>
      <x:c r="J78" s="15" t="n">
        <x:v>4015</x:v>
      </x:c>
      <x:c r="K78" s="15" t="n">
        <x:v>43.545249</x:v>
      </x:c>
      <x:c r="L78" s="15" t="n">
        <x:v>21.112689</x:v>
      </x:c>
      <x:c r="M78" s="15" t="n">
        <x:v>10.491387</x:v>
      </x:c>
      <x:c r="N78" s="15" t="n">
        <x:v>21246</x:v>
      </x:c>
      <x:c r="O78" s="15" t="n">
        <x:v>2255</x:v>
      </x:c>
      <x:c r="P78" s="15" t="n">
        <x:v>1349</x:v>
      </x:c>
      <x:c r="Q78" s="15" t="n">
        <x:v>744</x:v>
      </x:c>
      <x:c r="R78" s="15" t="n">
        <x:v>2333</x:v>
      </x:c>
      <x:c r="S78" s="15" t="n">
        <x:v>857</x:v>
      </x:c>
      <x:c r="T78" s="15" t="n">
        <x:v>3098</x:v>
      </x:c>
      <x:c r="U78" s="15" t="n">
        <x:v>835</x:v>
      </x:c>
      <x:c r="V78" s="15" t="n">
        <x:v>1956</x:v>
      </x:c>
      <x:c r="W78" s="15" t="n">
        <x:v>769</x:v>
      </x:c>
      <x:c r="X78" s="15" t="n">
        <x:v>2000</x:v>
      </x:c>
      <x:c r="Y78" s="15" t="n">
        <x:v>818</x:v>
      </x:c>
      <x:c r="Z78" s="15" t="n">
        <x:v>1979</x:v>
      </x:c>
      <x:c r="AA78" s="15" t="n">
        <x:v>854</x:v>
      </x:c>
      <x:c r="AB78" s="15" t="n">
        <x:v>1254</x:v>
      </x:c>
      <x:c r="AC78" s="15" t="n">
        <x:v>691</x:v>
      </x:c>
      <x:c r="AD78" s="15" t="n">
        <x:v>1033</x:v>
      </x:c>
      <x:c r="AE78" s="15" t="n">
        <x:v>622</x:v>
      </x:c>
      <x:c r="AF78" s="15" t="n">
        <x:v>4015</x:v>
      </x:c>
      <x:c r="AG78" s="15" t="n">
        <x:v>1144</x:v>
      </x:c>
      <x:c r="AH78" s="15" t="n">
        <x:v>2229</x:v>
      </x:c>
      <x:c r="AI78" s="15" t="n">
        <x:v>618</x:v>
      </x:c>
    </x:row>
    <x:row r="79" ht="22" customHeight="1">
      <x:c r="A79" s="1" t="str">
        <x:v>310M700US16700</x:v>
      </x:c>
      <x:c r="B79" s="1" t="str">
        <x:v>16700</x:v>
      </x:c>
      <x:c r="C79" s="1" t="str">
        <x:v>Charleston-North Charleston, SC Metro Area</x:v>
      </x:c>
      <x:c r="D79" s="5" t="n">
        <x:v>2024</x:v>
      </x:c>
      <x:c r="E79" s="1" t="str">
        <x:v>ok</x:v>
      </x:c>
      <x:c r="F79" s="15" t="n">
        <x:v>107060</x:v>
      </x:c>
      <x:c r="G79" s="15" t="n">
        <x:v>5946</x:v>
      </x:c>
      <x:c r="H79" s="15" t="n">
        <x:v>101114</x:v>
      </x:c>
      <x:c r="I79" s="15" t="n">
        <x:v>55770</x:v>
      </x:c>
      <x:c r="J79" s="15" t="n">
        <x:v>26607</x:v>
      </x:c>
      <x:c r="K79" s="15" t="n">
        <x:v>55.155567</x:v>
      </x:c>
      <x:c r="L79" s="15" t="n">
        <x:v>26.313864</x:v>
      </x:c>
      <x:c r="M79" s="15" t="n">
        <x:v>5.553895</x:v>
      </x:c>
      <x:c r="N79" s="15" t="n">
        <x:v>107060</x:v>
      </x:c>
      <x:c r="O79" s="15" t="n">
        <x:v>5992</x:v>
      </x:c>
      <x:c r="P79" s="15" t="n">
        <x:v>3670</x:v>
      </x:c>
      <x:c r="Q79" s="15" t="n">
        <x:v>1346</x:v>
      </x:c>
      <x:c r="R79" s="15" t="n">
        <x:v>4841</x:v>
      </x:c>
      <x:c r="S79" s="15" t="n">
        <x:v>1398</x:v>
      </x:c>
      <x:c r="T79" s="15" t="n">
        <x:v>11226</x:v>
      </x:c>
      <x:c r="U79" s="15" t="n">
        <x:v>2651</x:v>
      </x:c>
      <x:c r="V79" s="15" t="n">
        <x:v>12285</x:v>
      </x:c>
      <x:c r="W79" s="15" t="n">
        <x:v>3002</x:v>
      </x:c>
      <x:c r="X79" s="15" t="n">
        <x:v>13322</x:v>
      </x:c>
      <x:c r="Y79" s="15" t="n">
        <x:v>2661</x:v>
      </x:c>
      <x:c r="Z79" s="15" t="n">
        <x:v>11388</x:v>
      </x:c>
      <x:c r="AA79" s="15" t="n">
        <x:v>2670</x:v>
      </x:c>
      <x:c r="AB79" s="15" t="n">
        <x:v>7529</x:v>
      </x:c>
      <x:c r="AC79" s="15" t="n">
        <x:v>1943</x:v>
      </x:c>
      <x:c r="AD79" s="15" t="n">
        <x:v>10246</x:v>
      </x:c>
      <x:c r="AE79" s="15" t="n">
        <x:v>2721</x:v>
      </x:c>
      <x:c r="AF79" s="15" t="n">
        <x:v>26607</x:v>
      </x:c>
      <x:c r="AG79" s="15" t="n">
        <x:v>3230</x:v>
      </x:c>
      <x:c r="AH79" s="15" t="n">
        <x:v>5946</x:v>
      </x:c>
      <x:c r="AI79" s="15" t="n">
        <x:v>1410</x:v>
      </x:c>
    </x:row>
    <x:row r="80" ht="22" customHeight="1">
      <x:c r="A80" s="1" t="str">
        <x:v>310M700US16740</x:v>
      </x:c>
      <x:c r="B80" s="1" t="str">
        <x:v>16740</x:v>
      </x:c>
      <x:c r="C80" s="1" t="str">
        <x:v>Charlotte-Concord-Gastonia, NC-SC Metro Area</x:v>
      </x:c>
      <x:c r="D80" s="5" t="n">
        <x:v>2024</x:v>
      </x:c>
      <x:c r="E80" s="1" t="str">
        <x:v>ok</x:v>
      </x:c>
      <x:c r="F80" s="15" t="n">
        <x:v>383002</x:v>
      </x:c>
      <x:c r="G80" s="15" t="n">
        <x:v>22533</x:v>
      </x:c>
      <x:c r="H80" s="15" t="n">
        <x:v>360469</x:v>
      </x:c>
      <x:c r="I80" s="15" t="n">
        <x:v>180002</x:v>
      </x:c>
      <x:c r="J80" s="15" t="n">
        <x:v>88229</x:v>
      </x:c>
      <x:c r="K80" s="15" t="n">
        <x:v>49.935501</x:v>
      </x:c>
      <x:c r="L80" s="15" t="n">
        <x:v>24.476169</x:v>
      </x:c>
      <x:c r="M80" s="15" t="n">
        <x:v>5.883259</x:v>
      </x:c>
      <x:c r="N80" s="15" t="n">
        <x:v>383002</x:v>
      </x:c>
      <x:c r="O80" s="15" t="n">
        <x:v>9696</x:v>
      </x:c>
      <x:c r="P80" s="15" t="n">
        <x:v>13660</x:v>
      </x:c>
      <x:c r="Q80" s="15" t="n">
        <x:v>2625</x:v>
      </x:c>
      <x:c r="R80" s="15" t="n">
        <x:v>31137</x:v>
      </x:c>
      <x:c r="S80" s="15" t="n">
        <x:v>3837</x:v>
      </x:c>
      <x:c r="T80" s="15" t="n">
        <x:v>43322</x:v>
      </x:c>
      <x:c r="U80" s="15" t="n">
        <x:v>5510</x:v>
      </x:c>
      <x:c r="V80" s="15" t="n">
        <x:v>51287</x:v>
      </x:c>
      <x:c r="W80" s="15" t="n">
        <x:v>5102</x:v>
      </x:c>
      <x:c r="X80" s="15" t="n">
        <x:v>41061</x:v>
      </x:c>
      <x:c r="Y80" s="15" t="n">
        <x:v>4215</x:v>
      </x:c>
      <x:c r="Z80" s="15" t="n">
        <x:v>33527</x:v>
      </x:c>
      <x:c r="AA80" s="15" t="n">
        <x:v>3521</x:v>
      </x:c>
      <x:c r="AB80" s="15" t="n">
        <x:v>22931</x:v>
      </x:c>
      <x:c r="AC80" s="15" t="n">
        <x:v>3066</x:v>
      </x:c>
      <x:c r="AD80" s="15" t="n">
        <x:v>35315</x:v>
      </x:c>
      <x:c r="AE80" s="15" t="n">
        <x:v>3590</x:v>
      </x:c>
      <x:c r="AF80" s="15" t="n">
        <x:v>88229</x:v>
      </x:c>
      <x:c r="AG80" s="15" t="n">
        <x:v>6921</x:v>
      </x:c>
      <x:c r="AH80" s="15" t="n">
        <x:v>22533</x:v>
      </x:c>
      <x:c r="AI80" s="15" t="n">
        <x:v>2903</x:v>
      </x:c>
    </x:row>
    <x:row r="81" ht="22" customHeight="1">
      <x:c r="A81" s="1" t="str">
        <x:v>310M700US16820</x:v>
      </x:c>
      <x:c r="B81" s="1" t="str">
        <x:v>16820</x:v>
      </x:c>
      <x:c r="C81" s="1" t="str">
        <x:v>Charlottesville, VA Metro Area</x:v>
      </x:c>
      <x:c r="D81" s="5" t="n">
        <x:v>2024</x:v>
      </x:c>
      <x:c r="E81" s="1" t="str">
        <x:v>ok</x:v>
      </x:c>
      <x:c r="F81" s="15" t="n">
        <x:v>29484</x:v>
      </x:c>
      <x:c r="G81" s="15" t="n">
        <x:v>2112</x:v>
      </x:c>
      <x:c r="H81" s="15" t="n">
        <x:v>27372</x:v>
      </x:c>
      <x:c r="I81" s="15" t="n">
        <x:v>13561</x:v>
      </x:c>
      <x:c r="J81" s="15" t="n">
        <x:v>7063</x:v>
      </x:c>
      <x:c r="K81" s="15" t="n">
        <x:v>49.543329</x:v>
      </x:c>
      <x:c r="L81" s="15" t="n">
        <x:v>25.803741</x:v>
      </x:c>
      <x:c r="M81" s="15" t="n">
        <x:v>7.163207</x:v>
      </x:c>
      <x:c r="N81" s="15" t="n">
        <x:v>29484</x:v>
      </x:c>
      <x:c r="O81" s="15" t="n">
        <x:v>2300</x:v>
      </x:c>
      <x:c r="P81" s="15" t="n">
        <x:v>884</x:v>
      </x:c>
      <x:c r="Q81" s="15" t="n">
        <x:v>484</x:v>
      </x:c>
      <x:c r="R81" s="15" t="n">
        <x:v>1962</x:v>
      </x:c>
      <x:c r="S81" s="15" t="n">
        <x:v>743</x:v>
      </x:c>
      <x:c r="T81" s="15" t="n">
        <x:v>2945</x:v>
      </x:c>
      <x:c r="U81" s="15" t="n">
        <x:v>1086</x:v>
      </x:c>
      <x:c r="V81" s="15" t="n">
        <x:v>3552</x:v>
      </x:c>
      <x:c r="W81" s="15" t="n">
        <x:v>1027</x:v>
      </x:c>
      <x:c r="X81" s="15" t="n">
        <x:v>4468</x:v>
      </x:c>
      <x:c r="Y81" s="15" t="n">
        <x:v>1212</x:v>
      </x:c>
      <x:c r="Z81" s="15" t="n">
        <x:v>2785</x:v>
      </x:c>
      <x:c r="AA81" s="15" t="n">
        <x:v>828</x:v>
      </x:c>
      <x:c r="AB81" s="15" t="n">
        <x:v>1498</x:v>
      </x:c>
      <x:c r="AC81" s="15" t="n">
        <x:v>782</x:v>
      </x:c>
      <x:c r="AD81" s="15" t="n">
        <x:v>2215</x:v>
      </x:c>
      <x:c r="AE81" s="15" t="n">
        <x:v>852</x:v>
      </x:c>
      <x:c r="AF81" s="15" t="n">
        <x:v>7063</x:v>
      </x:c>
      <x:c r="AG81" s="15" t="n">
        <x:v>1328</x:v>
      </x:c>
      <x:c r="AH81" s="15" t="n">
        <x:v>2112</x:v>
      </x:c>
      <x:c r="AI81" s="15" t="n">
        <x:v>816</x:v>
      </x:c>
    </x:row>
    <x:row r="82" ht="22" customHeight="1">
      <x:c r="A82" s="1" t="str">
        <x:v>310M700US16860</x:v>
      </x:c>
      <x:c r="B82" s="1" t="str">
        <x:v>16860</x:v>
      </x:c>
      <x:c r="C82" s="1" t="str">
        <x:v>Chattanooga, TN-GA Metro Area</x:v>
      </x:c>
      <x:c r="D82" s="5" t="n">
        <x:v>2024</x:v>
      </x:c>
      <x:c r="E82" s="1" t="str">
        <x:v>ok</x:v>
      </x:c>
      <x:c r="F82" s="15" t="n">
        <x:v>80138</x:v>
      </x:c>
      <x:c r="G82" s="15" t="n">
        <x:v>7414</x:v>
      </x:c>
      <x:c r="H82" s="15" t="n">
        <x:v>72724</x:v>
      </x:c>
      <x:c r="I82" s="15" t="n">
        <x:v>34121</x:v>
      </x:c>
      <x:c r="J82" s="15" t="n">
        <x:v>18214</x:v>
      </x:c>
      <x:c r="K82" s="15" t="n">
        <x:v>46.918486</x:v>
      </x:c>
      <x:c r="L82" s="15" t="n">
        <x:v>25.045377</x:v>
      </x:c>
      <x:c r="M82" s="15" t="n">
        <x:v>9.251541</x:v>
      </x:c>
      <x:c r="N82" s="15" t="n">
        <x:v>80138</x:v>
      </x:c>
      <x:c r="O82" s="15" t="n">
        <x:v>4952</x:v>
      </x:c>
      <x:c r="P82" s="15" t="n">
        <x:v>3867</x:v>
      </x:c>
      <x:c r="Q82" s="15" t="n">
        <x:v>1615</x:v>
      </x:c>
      <x:c r="R82" s="15" t="n">
        <x:v>5963</x:v>
      </x:c>
      <x:c r="S82" s="15" t="n">
        <x:v>1596</x:v>
      </x:c>
      <x:c r="T82" s="15" t="n">
        <x:v>8317</x:v>
      </x:c>
      <x:c r="U82" s="15" t="n">
        <x:v>1877</x:v>
      </x:c>
      <x:c r="V82" s="15" t="n">
        <x:v>10920</x:v>
      </x:c>
      <x:c r="W82" s="15" t="n">
        <x:v>2393</x:v>
      </x:c>
      <x:c r="X82" s="15" t="n">
        <x:v>9536</x:v>
      </x:c>
      <x:c r="Y82" s="15" t="n">
        <x:v>1913</x:v>
      </x:c>
      <x:c r="Z82" s="15" t="n">
        <x:v>5737</x:v>
      </x:c>
      <x:c r="AA82" s="15" t="n">
        <x:v>1730</x:v>
      </x:c>
      <x:c r="AB82" s="15" t="n">
        <x:v>3563</x:v>
      </x:c>
      <x:c r="AC82" s="15" t="n">
        <x:v>1075</x:v>
      </x:c>
      <x:c r="AD82" s="15" t="n">
        <x:v>6607</x:v>
      </x:c>
      <x:c r="AE82" s="15" t="n">
        <x:v>1881</x:v>
      </x:c>
      <x:c r="AF82" s="15" t="n">
        <x:v>18214</x:v>
      </x:c>
      <x:c r="AG82" s="15" t="n">
        <x:v>2372</x:v>
      </x:c>
      <x:c r="AH82" s="15" t="n">
        <x:v>7414</x:v>
      </x:c>
      <x:c r="AI82" s="15" t="n">
        <x:v>1394</x:v>
      </x:c>
    </x:row>
    <x:row r="83" ht="22" customHeight="1">
      <x:c r="A83" s="1" t="str">
        <x:v>310M700US16940</x:v>
      </x:c>
      <x:c r="B83" s="1" t="str">
        <x:v>16940</x:v>
      </x:c>
      <x:c r="C83" s="1" t="str">
        <x:v>Cheyenne, WY Metro Area</x:v>
      </x:c>
      <x:c r="D83" s="5" t="n">
        <x:v>2024</x:v>
      </x:c>
      <x:c r="E83" s="1" t="str">
        <x:v>ok</x:v>
      </x:c>
      <x:c r="F83" s="15" t="n">
        <x:v>15157</x:v>
      </x:c>
      <x:c r="G83" s="15" t="n">
        <x:v>1652</x:v>
      </x:c>
      <x:c r="H83" s="15" t="n">
        <x:v>13505</x:v>
      </x:c>
      <x:c r="I83" s="15" t="n">
        <x:v>6344</x:v>
      </x:c>
      <x:c r="J83" s="15" t="n">
        <x:v>2773</x:v>
      </x:c>
      <x:c r="K83" s="15" t="n">
        <x:v>46.975194</x:v>
      </x:c>
      <x:c r="L83" s="15" t="n">
        <x:v>20.533136</x:v>
      </x:c>
      <x:c r="M83" s="15" t="n">
        <x:v>10.899254</x:v>
      </x:c>
      <x:c r="N83" s="15" t="n">
        <x:v>15157</x:v>
      </x:c>
      <x:c r="O83" s="15" t="n">
        <x:v>1532</x:v>
      </x:c>
      <x:c r="P83" s="15" t="n">
        <x:v>401</x:v>
      </x:c>
      <x:c r="Q83" s="15" t="n">
        <x:v>377</x:v>
      </x:c>
      <x:c r="R83" s="15" t="n">
        <x:v>1663</x:v>
      </x:c>
      <x:c r="S83" s="15" t="n">
        <x:v>812</x:v>
      </x:c>
      <x:c r="T83" s="15" t="n">
        <x:v>1575</x:v>
      </x:c>
      <x:c r="U83" s="15" t="n">
        <x:v>768</x:v>
      </x:c>
      <x:c r="V83" s="15" t="n">
        <x:v>1999</x:v>
      </x:c>
      <x:c r="W83" s="15" t="n">
        <x:v>714</x:v>
      </x:c>
      <x:c r="X83" s="15" t="n">
        <x:v>1523</x:v>
      </x:c>
      <x:c r="Y83" s="15" t="n">
        <x:v>567</x:v>
      </x:c>
      <x:c r="Z83" s="15" t="n">
        <x:v>1596</x:v>
      </x:c>
      <x:c r="AA83" s="15" t="n">
        <x:v>785</x:v>
      </x:c>
      <x:c r="AB83" s="15" t="n">
        <x:v>695</x:v>
      </x:c>
      <x:c r="AC83" s="15" t="n">
        <x:v>441</x:v>
      </x:c>
      <x:c r="AD83" s="15" t="n">
        <x:v>1280</x:v>
      </x:c>
      <x:c r="AE83" s="15" t="n">
        <x:v>769</x:v>
      </x:c>
      <x:c r="AF83" s="15" t="n">
        <x:v>2773</x:v>
      </x:c>
      <x:c r="AG83" s="15" t="n">
        <x:v>1007</x:v>
      </x:c>
      <x:c r="AH83" s="15" t="n">
        <x:v>1652</x:v>
      </x:c>
      <x:c r="AI83" s="15" t="n">
        <x:v>822</x:v>
      </x:c>
    </x:row>
    <x:row r="84" ht="22" customHeight="1">
      <x:c r="A84" s="1" t="str">
        <x:v>310M700US16980</x:v>
      </x:c>
      <x:c r="B84" s="1" t="str">
        <x:v>16980</x:v>
      </x:c>
      <x:c r="C84" s="1" t="str">
        <x:v>Chicago-Naperville-Elgin, IL-IN Metro Area</x:v>
      </x:c>
      <x:c r="D84" s="5" t="n">
        <x:v>2024</x:v>
      </x:c>
      <x:c r="E84" s="1" t="str">
        <x:v>ok</x:v>
      </x:c>
      <x:c r="F84" s="15" t="n">
        <x:v>1260204</x:v>
      </x:c>
      <x:c r="G84" s="15" t="n">
        <x:v>73227</x:v>
      </x:c>
      <x:c r="H84" s="15" t="n">
        <x:v>1186977</x:v>
      </x:c>
      <x:c r="I84" s="15" t="n">
        <x:v>598924</x:v>
      </x:c>
      <x:c r="J84" s="15" t="n">
        <x:v>307410</x:v>
      </x:c>
      <x:c r="K84" s="15" t="n">
        <x:v>50.457928</x:v>
      </x:c>
      <x:c r="L84" s="15" t="n">
        <x:v>25.898564</x:v>
      </x:c>
      <x:c r="M84" s="15" t="n">
        <x:v>5.810726</x:v>
      </x:c>
      <x:c r="N84" s="15" t="n">
        <x:v>1260204</x:v>
      </x:c>
      <x:c r="O84" s="15" t="n">
        <x:v>18261</x:v>
      </x:c>
      <x:c r="P84" s="15" t="n">
        <x:v>48456</x:v>
      </x:c>
      <x:c r="Q84" s="15" t="n">
        <x:v>4922</x:v>
      </x:c>
      <x:c r="R84" s="15" t="n">
        <x:v>96095</x:v>
      </x:c>
      <x:c r="S84" s="15" t="n">
        <x:v>6945</x:v>
      </x:c>
      <x:c r="T84" s="15" t="n">
        <x:v>150753</x:v>
      </x:c>
      <x:c r="U84" s="15" t="n">
        <x:v>8713</x:v>
      </x:c>
      <x:c r="V84" s="15" t="n">
        <x:v>160768</x:v>
      </x:c>
      <x:c r="W84" s="15" t="n">
        <x:v>8334</x:v>
      </x:c>
      <x:c r="X84" s="15" t="n">
        <x:v>131981</x:v>
      </x:c>
      <x:c r="Y84" s="15" t="n">
        <x:v>7451</x:v>
      </x:c>
      <x:c r="Z84" s="15" t="n">
        <x:v>115007</x:v>
      </x:c>
      <x:c r="AA84" s="15" t="n">
        <x:v>7940</x:v>
      </x:c>
      <x:c r="AB84" s="15" t="n">
        <x:v>77783</x:v>
      </x:c>
      <x:c r="AC84" s="15" t="n">
        <x:v>6135</x:v>
      </x:c>
      <x:c r="AD84" s="15" t="n">
        <x:v>98724</x:v>
      </x:c>
      <x:c r="AE84" s="15" t="n">
        <x:v>7788</x:v>
      </x:c>
      <x:c r="AF84" s="15" t="n">
        <x:v>307410</x:v>
      </x:c>
      <x:c r="AG84" s="15" t="n">
        <x:v>11979</x:v>
      </x:c>
      <x:c r="AH84" s="15" t="n">
        <x:v>73227</x:v>
      </x:c>
      <x:c r="AI84" s="15" t="n">
        <x:v>5935</x:v>
      </x:c>
    </x:row>
    <x:row r="85" ht="22" customHeight="1">
      <x:c r="A85" s="1" t="str">
        <x:v>310M700US17020</x:v>
      </x:c>
      <x:c r="B85" s="1" t="str">
        <x:v>17020</x:v>
      </x:c>
      <x:c r="C85" s="1" t="str">
        <x:v>Chico, CA Metro Area</x:v>
      </x:c>
      <x:c r="D85" s="5" t="n">
        <x:v>2024</x:v>
      </x:c>
      <x:c r="E85" s="1" t="str">
        <x:v>ok</x:v>
      </x:c>
      <x:c r="F85" s="15" t="n">
        <x:v>39410</x:v>
      </x:c>
      <x:c r="G85" s="15" t="n">
        <x:v>2304</x:v>
      </x:c>
      <x:c r="H85" s="15" t="n">
        <x:v>37106</x:v>
      </x:c>
      <x:c r="I85" s="15" t="n">
        <x:v>22044</x:v>
      </x:c>
      <x:c r="J85" s="15" t="n">
        <x:v>12959</x:v>
      </x:c>
      <x:c r="K85" s="15" t="n">
        <x:v>59.408182</x:v>
      </x:c>
      <x:c r="L85" s="15" t="n">
        <x:v>34.924271</x:v>
      </x:c>
      <x:c r="M85" s="15" t="n">
        <x:v>5.846232</x:v>
      </x:c>
      <x:c r="N85" s="15" t="n">
        <x:v>39410</x:v>
      </x:c>
      <x:c r="O85" s="15" t="n">
        <x:v>2466</x:v>
      </x:c>
      <x:c r="P85" s="15" t="n">
        <x:v>1441</x:v>
      </x:c>
      <x:c r="Q85" s="15" t="n">
        <x:v>971</x:v>
      </x:c>
      <x:c r="R85" s="15" t="n">
        <x:v>1405</x:v>
      </x:c>
      <x:c r="S85" s="15" t="n">
        <x:v>843</x:v>
      </x:c>
      <x:c r="T85" s="15" t="n">
        <x:v>3655</x:v>
      </x:c>
      <x:c r="U85" s="15" t="n">
        <x:v>1234</x:v>
      </x:c>
      <x:c r="V85" s="15" t="n">
        <x:v>4654</x:v>
      </x:c>
      <x:c r="W85" s="15" t="n">
        <x:v>1459</x:v>
      </x:c>
      <x:c r="X85" s="15" t="n">
        <x:v>3907</x:v>
      </x:c>
      <x:c r="Y85" s="15" t="n">
        <x:v>1102</x:v>
      </x:c>
      <x:c r="Z85" s="15" t="n">
        <x:v>2775</x:v>
      </x:c>
      <x:c r="AA85" s="15" t="n">
        <x:v>919</x:v>
      </x:c>
      <x:c r="AB85" s="15" t="n">
        <x:v>2407</x:v>
      </x:c>
      <x:c r="AC85" s="15" t="n">
        <x:v>897</x:v>
      </x:c>
      <x:c r="AD85" s="15" t="n">
        <x:v>3903</x:v>
      </x:c>
      <x:c r="AE85" s="15" t="n">
        <x:v>1344</x:v>
      </x:c>
      <x:c r="AF85" s="15" t="n">
        <x:v>12959</x:v>
      </x:c>
      <x:c r="AG85" s="15" t="n">
        <x:v>1892</x:v>
      </x:c>
      <x:c r="AH85" s="15" t="n">
        <x:v>2304</x:v>
      </x:c>
      <x:c r="AI85" s="15" t="n">
        <x:v>902</x:v>
      </x:c>
    </x:row>
    <x:row r="86" ht="22" customHeight="1">
      <x:c r="A86" s="1" t="str">
        <x:v>310M700US17140</x:v>
      </x:c>
      <x:c r="B86" s="1" t="str">
        <x:v>17140</x:v>
      </x:c>
      <x:c r="C86" s="1" t="str">
        <x:v>Cincinnati, OH-KY-IN Metro Area</x:v>
      </x:c>
      <x:c r="D86" s="5" t="n">
        <x:v>2024</x:v>
      </x:c>
      <x:c r="E86" s="1" t="str">
        <x:v>ok</x:v>
      </x:c>
      <x:c r="F86" s="15" t="n">
        <x:v>290040</x:v>
      </x:c>
      <x:c r="G86" s="15" t="n">
        <x:v>17058</x:v>
      </x:c>
      <x:c r="H86" s="15" t="n">
        <x:v>272982</x:v>
      </x:c>
      <x:c r="I86" s="15" t="n">
        <x:v>135122</x:v>
      </x:c>
      <x:c r="J86" s="15" t="n">
        <x:v>71942</x:v>
      </x:c>
      <x:c r="K86" s="15" t="n">
        <x:v>49.498502</x:v>
      </x:c>
      <x:c r="L86" s="15" t="n">
        <x:v>26.354119</x:v>
      </x:c>
      <x:c r="M86" s="15" t="n">
        <x:v>5.881258</x:v>
      </x:c>
      <x:c r="N86" s="15" t="n">
        <x:v>290040</x:v>
      </x:c>
      <x:c r="O86" s="15" t="n">
        <x:v>8691</x:v>
      </x:c>
      <x:c r="P86" s="15" t="n">
        <x:v>10286</x:v>
      </x:c>
      <x:c r="Q86" s="15" t="n">
        <x:v>2606</x:v>
      </x:c>
      <x:c r="R86" s="15" t="n">
        <x:v>27084</x:v>
      </x:c>
      <x:c r="S86" s="15" t="n">
        <x:v>3700</x:v>
      </x:c>
      <x:c r="T86" s="15" t="n">
        <x:v>34290</x:v>
      </x:c>
      <x:c r="U86" s="15" t="n">
        <x:v>4051</x:v>
      </x:c>
      <x:c r="V86" s="15" t="n">
        <x:v>32616</x:v>
      </x:c>
      <x:c r="W86" s="15" t="n">
        <x:v>2739</x:v>
      </x:c>
      <x:c r="X86" s="15" t="n">
        <x:v>33584</x:v>
      </x:c>
      <x:c r="Y86" s="15" t="n">
        <x:v>3959</x:v>
      </x:c>
      <x:c r="Z86" s="15" t="n">
        <x:v>24547</x:v>
      </x:c>
      <x:c r="AA86" s="15" t="n">
        <x:v>3017</x:v>
      </x:c>
      <x:c r="AB86" s="15" t="n">
        <x:v>20720</x:v>
      </x:c>
      <x:c r="AC86" s="15" t="n">
        <x:v>3443</x:v>
      </x:c>
      <x:c r="AD86" s="15" t="n">
        <x:v>17913</x:v>
      </x:c>
      <x:c r="AE86" s="15" t="n">
        <x:v>2370</x:v>
      </x:c>
      <x:c r="AF86" s="15" t="n">
        <x:v>71942</x:v>
      </x:c>
      <x:c r="AG86" s="15" t="n">
        <x:v>6036</x:v>
      </x:c>
      <x:c r="AH86" s="15" t="n">
        <x:v>17058</x:v>
      </x:c>
      <x:c r="AI86" s="15" t="n">
        <x:v>2453</x:v>
      </x:c>
    </x:row>
    <x:row r="87" ht="22" customHeight="1">
      <x:c r="A87" s="1" t="str">
        <x:v>310M700US17300</x:v>
      </x:c>
      <x:c r="B87" s="1" t="str">
        <x:v>17300</x:v>
      </x:c>
      <x:c r="C87" s="1" t="str">
        <x:v>Clarksville, TN-KY Metro Area</x:v>
      </x:c>
      <x:c r="D87" s="5" t="n">
        <x:v>2024</x:v>
      </x:c>
      <x:c r="E87" s="1" t="str">
        <x:v>ok</x:v>
      </x:c>
      <x:c r="F87" s="15" t="n">
        <x:v>56998</x:v>
      </x:c>
      <x:c r="G87" s="15" t="n">
        <x:v>2902</x:v>
      </x:c>
      <x:c r="H87" s="15" t="n">
        <x:v>54096</x:v>
      </x:c>
      <x:c r="I87" s="15" t="n">
        <x:v>23124</x:v>
      </x:c>
      <x:c r="J87" s="15" t="n">
        <x:v>9745</x:v>
      </x:c>
      <x:c r="K87" s="15" t="n">
        <x:v>42.746229</x:v>
      </x:c>
      <x:c r="L87" s="15" t="n">
        <x:v>18.014271</x:v>
      </x:c>
      <x:c r="M87" s="15" t="n">
        <x:v>5.091407</x:v>
      </x:c>
      <x:c r="N87" s="15" t="n">
        <x:v>56998</x:v>
      </x:c>
      <x:c r="O87" s="15" t="n">
        <x:v>3306</x:v>
      </x:c>
      <x:c r="P87" s="15" t="n">
        <x:v>2225</x:v>
      </x:c>
      <x:c r="Q87" s="15" t="n">
        <x:v>1053</x:v>
      </x:c>
      <x:c r="R87" s="15" t="n">
        <x:v>6851</x:v>
      </x:c>
      <x:c r="S87" s="15" t="n">
        <x:v>2313</x:v>
      </x:c>
      <x:c r="T87" s="15" t="n">
        <x:v>6677</x:v>
      </x:c>
      <x:c r="U87" s="15" t="n">
        <x:v>1791</x:v>
      </x:c>
      <x:c r="V87" s="15" t="n">
        <x:v>8152</x:v>
      </x:c>
      <x:c r="W87" s="15" t="n">
        <x:v>1820</x:v>
      </x:c>
      <x:c r="X87" s="15" t="n">
        <x:v>7067</x:v>
      </x:c>
      <x:c r="Y87" s="15" t="n">
        <x:v>1729</x:v>
      </x:c>
      <x:c r="Z87" s="15" t="n">
        <x:v>4814</x:v>
      </x:c>
      <x:c r="AA87" s="15" t="n">
        <x:v>1418</x:v>
      </x:c>
      <x:c r="AB87" s="15" t="n">
        <x:v>3293</x:v>
      </x:c>
      <x:c r="AC87" s="15" t="n">
        <x:v>1233</x:v>
      </x:c>
      <x:c r="AD87" s="15" t="n">
        <x:v>5272</x:v>
      </x:c>
      <x:c r="AE87" s="15" t="n">
        <x:v>2048</x:v>
      </x:c>
      <x:c r="AF87" s="15" t="n">
        <x:v>9745</x:v>
      </x:c>
      <x:c r="AG87" s="15" t="n">
        <x:v>2437</x:v>
      </x:c>
      <x:c r="AH87" s="15" t="n">
        <x:v>2902</x:v>
      </x:c>
      <x:c r="AI87" s="15" t="n">
        <x:v>1062</x:v>
      </x:c>
    </x:row>
    <x:row r="88" ht="22" customHeight="1">
      <x:c r="A88" s="1" t="str">
        <x:v>310M700US17410</x:v>
      </x:c>
      <x:c r="B88" s="1" t="str">
        <x:v>17410</x:v>
      </x:c>
      <x:c r="C88" s="1" t="str">
        <x:v>Cleveland, OH Metro Area</x:v>
      </x:c>
      <x:c r="D88" s="5" t="n">
        <x:v>2024</x:v>
      </x:c>
      <x:c r="E88" s="1" t="str">
        <x:v>ok</x:v>
      </x:c>
      <x:c r="F88" s="15" t="n">
        <x:v>295109</x:v>
      </x:c>
      <x:c r="G88" s="15" t="n">
        <x:v>20428</x:v>
      </x:c>
      <x:c r="H88" s="15" t="n">
        <x:v>274681</x:v>
      </x:c>
      <x:c r="I88" s="15" t="n">
        <x:v>132353</x:v>
      </x:c>
      <x:c r="J88" s="15" t="n">
        <x:v>72178</x:v>
      </x:c>
      <x:c r="K88" s="15" t="n">
        <x:v>48.184257</x:v>
      </x:c>
      <x:c r="L88" s="15" t="n">
        <x:v>26.277027</x:v>
      </x:c>
      <x:c r="M88" s="15" t="n">
        <x:v>6.922188</x:v>
      </x:c>
      <x:c r="N88" s="15" t="n">
        <x:v>295109</x:v>
      </x:c>
      <x:c r="O88" s="15" t="n">
        <x:v>6337</x:v>
      </x:c>
      <x:c r="P88" s="15" t="n">
        <x:v>11635</x:v>
      </x:c>
      <x:c r="Q88" s="15" t="n">
        <x:v>1815</x:v>
      </x:c>
      <x:c r="R88" s="15" t="n">
        <x:v>29246</x:v>
      </x:c>
      <x:c r="S88" s="15" t="n">
        <x:v>3654</x:v>
      </x:c>
      <x:c r="T88" s="15" t="n">
        <x:v>34713</x:v>
      </x:c>
      <x:c r="U88" s="15" t="n">
        <x:v>3309</x:v>
      </x:c>
      <x:c r="V88" s="15" t="n">
        <x:v>36098</x:v>
      </x:c>
      <x:c r="W88" s="15" t="n">
        <x:v>3550</x:v>
      </x:c>
      <x:c r="X88" s="15" t="n">
        <x:v>30636</x:v>
      </x:c>
      <x:c r="Y88" s="15" t="n">
        <x:v>3123</x:v>
      </x:c>
      <x:c r="Z88" s="15" t="n">
        <x:v>25747</x:v>
      </x:c>
      <x:c r="AA88" s="15" t="n">
        <x:v>2755</x:v>
      </x:c>
      <x:c r="AB88" s="15" t="n">
        <x:v>15115</x:v>
      </x:c>
      <x:c r="AC88" s="15" t="n">
        <x:v>2181</x:v>
      </x:c>
      <x:c r="AD88" s="15" t="n">
        <x:v>19313</x:v>
      </x:c>
      <x:c r="AE88" s="15" t="n">
        <x:v>2536</x:v>
      </x:c>
      <x:c r="AF88" s="15" t="n">
        <x:v>72178</x:v>
      </x:c>
      <x:c r="AG88" s="15" t="n">
        <x:v>5856</x:v>
      </x:c>
      <x:c r="AH88" s="15" t="n">
        <x:v>20428</x:v>
      </x:c>
      <x:c r="AI88" s="15" t="n">
        <x:v>2635</x:v>
      </x:c>
    </x:row>
    <x:row r="89" ht="22" customHeight="1">
      <x:c r="A89" s="1" t="str">
        <x:v>310M700US17420</x:v>
      </x:c>
      <x:c r="B89" s="1" t="str">
        <x:v>17420</x:v>
      </x:c>
      <x:c r="C89" s="1" t="str">
        <x:v>Cleveland, TN Metro Area</x:v>
      </x:c>
      <x:c r="D89" s="5" t="n">
        <x:v>2024</x:v>
      </x:c>
      <x:c r="E89" s="1" t="str">
        <x:v>ok</x:v>
      </x:c>
      <x:c r="F89" s="15" t="n">
        <x:v>17292</x:v>
      </x:c>
      <x:c r="G89" s="15" t="n">
        <x:v>1041</x:v>
      </x:c>
      <x:c r="H89" s="15" t="n">
        <x:v>16251</x:v>
      </x:c>
      <x:c r="I89" s="15" t="n">
        <x:v>6646</x:v>
      </x:c>
      <x:c r="J89" s="15" t="n">
        <x:v>2421</x:v>
      </x:c>
      <x:c r="K89" s="15" t="n">
        <x:v>40.895945</x:v>
      </x:c>
      <x:c r="L89" s="15" t="n">
        <x:v>14.897545</x:v>
      </x:c>
      <x:c r="M89" s="15" t="n">
        <x:v>6.020125</x:v>
      </x:c>
      <x:c r="N89" s="15" t="n">
        <x:v>17292</x:v>
      </x:c>
      <x:c r="O89" s="15" t="n">
        <x:v>2126</x:v>
      </x:c>
      <x:c r="P89" s="15" t="n">
        <x:v>1604</x:v>
      </x:c>
      <x:c r="Q89" s="15" t="n">
        <x:v>884</x:v>
      </x:c>
      <x:c r="R89" s="15" t="n">
        <x:v>2275</x:v>
      </x:c>
      <x:c r="S89" s="15" t="n">
        <x:v>1000</x:v>
      </x:c>
      <x:c r="T89" s="15" t="n">
        <x:v>2238</x:v>
      </x:c>
      <x:c r="U89" s="15" t="n">
        <x:v>886</x:v>
      </x:c>
      <x:c r="V89" s="15" t="n">
        <x:v>1570</x:v>
      </x:c>
      <x:c r="W89" s="15" t="n">
        <x:v>622</x:v>
      </x:c>
      <x:c r="X89" s="15" t="n">
        <x:v>1918</x:v>
      </x:c>
      <x:c r="Y89" s="15" t="n">
        <x:v>1026</x:v>
      </x:c>
      <x:c r="Z89" s="15" t="n">
        <x:v>2042</x:v>
      </x:c>
      <x:c r="AA89" s="15" t="n">
        <x:v>812</x:v>
      </x:c>
      <x:c r="AB89" s="15" t="n">
        <x:v>1172</x:v>
      </x:c>
      <x:c r="AC89" s="15" t="n">
        <x:v>767</x:v>
      </x:c>
      <x:c r="AD89" s="15" t="n">
        <x:v>1011</x:v>
      </x:c>
      <x:c r="AE89" s="15" t="n">
        <x:v>573</x:v>
      </x:c>
      <x:c r="AF89" s="15" t="n">
        <x:v>2421</x:v>
      </x:c>
      <x:c r="AG89" s="15" t="n">
        <x:v>1001</x:v>
      </x:c>
      <x:c r="AH89" s="15" t="n">
        <x:v>1041</x:v>
      </x:c>
      <x:c r="AI89" s="15" t="n">
        <x:v>569</x:v>
      </x:c>
    </x:row>
    <x:row r="90" ht="22" customHeight="1">
      <x:c r="A90" s="1" t="str">
        <x:v>310M700US17660</x:v>
      </x:c>
      <x:c r="B90" s="1" t="str">
        <x:v>17660</x:v>
      </x:c>
      <x:c r="C90" s="1" t="str">
        <x:v>Coeur d'Alene, ID Metro Area</x:v>
      </x:c>
      <x:c r="D90" s="5" t="n">
        <x:v>2024</x:v>
      </x:c>
      <x:c r="E90" s="1" t="str">
        <x:v>ok</x:v>
      </x:c>
      <x:c r="F90" s="15" t="n">
        <x:v>24954</x:v>
      </x:c>
      <x:c r="G90" s="15" t="n">
        <x:v>1696</x:v>
      </x:c>
      <x:c r="H90" s="15" t="n">
        <x:v>23258</x:v>
      </x:c>
      <x:c r="I90" s="15" t="n">
        <x:v>11752</x:v>
      </x:c>
      <x:c r="J90" s="15" t="n">
        <x:v>5927</x:v>
      </x:c>
      <x:c r="K90" s="15" t="n">
        <x:v>50.52885</x:v>
      </x:c>
      <x:c r="L90" s="15" t="n">
        <x:v>25.483705</x:v>
      </x:c>
      <x:c r="M90" s="15" t="n">
        <x:v>6.796506</x:v>
      </x:c>
      <x:c r="N90" s="15" t="n">
        <x:v>24954</x:v>
      </x:c>
      <x:c r="O90" s="15" t="n">
        <x:v>2510</x:v>
      </x:c>
      <x:c r="P90" s="15" t="n">
        <x:v>207</x:v>
      </x:c>
      <x:c r="Q90" s="15" t="n">
        <x:v>201</x:v>
      </x:c>
      <x:c r="R90" s="15" t="n">
        <x:v>2173</x:v>
      </x:c>
      <x:c r="S90" s="15" t="n">
        <x:v>998</x:v>
      </x:c>
      <x:c r="T90" s="15" t="n">
        <x:v>2575</x:v>
      </x:c>
      <x:c r="U90" s="15" t="n">
        <x:v>1240</x:v>
      </x:c>
      <x:c r="V90" s="15" t="n">
        <x:v>3318</x:v>
      </x:c>
      <x:c r="W90" s="15" t="n">
        <x:v>1194</x:v>
      </x:c>
      <x:c r="X90" s="15" t="n">
        <x:v>3233</x:v>
      </x:c>
      <x:c r="Y90" s="15" t="n">
        <x:v>1122</x:v>
      </x:c>
      <x:c r="Z90" s="15" t="n">
        <x:v>2892</x:v>
      </x:c>
      <x:c r="AA90" s="15" t="n">
        <x:v>1098</x:v>
      </x:c>
      <x:c r="AB90" s="15" t="n">
        <x:v>1211</x:v>
      </x:c>
      <x:c r="AC90" s="15" t="n">
        <x:v>556</x:v>
      </x:c>
      <x:c r="AD90" s="15" t="n">
        <x:v>1722</x:v>
      </x:c>
      <x:c r="AE90" s="15" t="n">
        <x:v>870</x:v>
      </x:c>
      <x:c r="AF90" s="15" t="n">
        <x:v>5927</x:v>
      </x:c>
      <x:c r="AG90" s="15" t="n">
        <x:v>1553</x:v>
      </x:c>
      <x:c r="AH90" s="15" t="n">
        <x:v>1696</x:v>
      </x:c>
      <x:c r="AI90" s="15" t="n">
        <x:v>763</x:v>
      </x:c>
    </x:row>
    <x:row r="91" ht="22" customHeight="1">
      <x:c r="A91" s="1" t="str">
        <x:v>310M700US17780</x:v>
      </x:c>
      <x:c r="B91" s="1" t="str">
        <x:v>17780</x:v>
      </x:c>
      <x:c r="C91" s="1" t="str">
        <x:v>College Station-Bryan, TX Metro Area</x:v>
      </x:c>
      <x:c r="D91" s="5" t="n">
        <x:v>2024</x:v>
      </x:c>
      <x:c r="E91" s="1" t="str">
        <x:v>ok</x:v>
      </x:c>
      <x:c r="F91" s="15" t="n">
        <x:v>54530</x:v>
      </x:c>
      <x:c r="G91" s="15" t="n">
        <x:v>4991</x:v>
      </x:c>
      <x:c r="H91" s="15" t="n">
        <x:v>49539</x:v>
      </x:c>
      <x:c r="I91" s="15" t="n">
        <x:v>29813</x:v>
      </x:c>
      <x:c r="J91" s="15" t="n">
        <x:v>17030</x:v>
      </x:c>
      <x:c r="K91" s="15" t="n">
        <x:v>60.180868</x:v>
      </x:c>
      <x:c r="L91" s="15" t="n">
        <x:v>34.376956</x:v>
      </x:c>
      <x:c r="M91" s="15" t="n">
        <x:v>9.15276</x:v>
      </x:c>
      <x:c r="N91" s="15" t="n">
        <x:v>54530</x:v>
      </x:c>
      <x:c r="O91" s="15" t="n">
        <x:v>2728</x:v>
      </x:c>
      <x:c r="P91" s="15" t="n">
        <x:v>1177</x:v>
      </x:c>
      <x:c r="Q91" s="15" t="n">
        <x:v>620</x:v>
      </x:c>
      <x:c r="R91" s="15" t="n">
        <x:v>3838</x:v>
      </x:c>
      <x:c r="S91" s="15" t="n">
        <x:v>1020</x:v>
      </x:c>
      <x:c r="T91" s="15" t="n">
        <x:v>5390</x:v>
      </x:c>
      <x:c r="U91" s="15" t="n">
        <x:v>1340</x:v>
      </x:c>
      <x:c r="V91" s="15" t="n">
        <x:v>4863</x:v>
      </x:c>
      <x:c r="W91" s="15" t="n">
        <x:v>1390</x:v>
      </x:c>
      <x:c r="X91" s="15" t="n">
        <x:v>4458</x:v>
      </x:c>
      <x:c r="Y91" s="15" t="n">
        <x:v>1351</x:v>
      </x:c>
      <x:c r="Z91" s="15" t="n">
        <x:v>5051</x:v>
      </x:c>
      <x:c r="AA91" s="15" t="n">
        <x:v>1501</x:v>
      </x:c>
      <x:c r="AB91" s="15" t="n">
        <x:v>2920</x:v>
      </x:c>
      <x:c r="AC91" s="15" t="n">
        <x:v>1129</x:v>
      </x:c>
      <x:c r="AD91" s="15" t="n">
        <x:v>4812</x:v>
      </x:c>
      <x:c r="AE91" s="15" t="n">
        <x:v>1324</x:v>
      </x:c>
      <x:c r="AF91" s="15" t="n">
        <x:v>17030</x:v>
      </x:c>
      <x:c r="AG91" s="15" t="n">
        <x:v>2237</x:v>
      </x:c>
      <x:c r="AH91" s="15" t="n">
        <x:v>4991</x:v>
      </x:c>
      <x:c r="AI91" s="15" t="n">
        <x:v>1384</x:v>
      </x:c>
    </x:row>
    <x:row r="92" ht="22" customHeight="1">
      <x:c r="A92" s="1" t="str">
        <x:v>310M700US17820</x:v>
      </x:c>
      <x:c r="B92" s="1" t="str">
        <x:v>17820</x:v>
      </x:c>
      <x:c r="C92" s="1" t="str">
        <x:v>Colorado Springs, CO Metro Area</x:v>
      </x:c>
      <x:c r="D92" s="5" t="n">
        <x:v>2024</x:v>
      </x:c>
      <x:c r="E92" s="1" t="str">
        <x:v>ok</x:v>
      </x:c>
      <x:c r="F92" s="15" t="n">
        <x:v>113184</x:v>
      </x:c>
      <x:c r="G92" s="15" t="n">
        <x:v>4276</x:v>
      </x:c>
      <x:c r="H92" s="15" t="n">
        <x:v>108908</x:v>
      </x:c>
      <x:c r="I92" s="15" t="n">
        <x:v>59238</x:v>
      </x:c>
      <x:c r="J92" s="15" t="n">
        <x:v>24420</x:v>
      </x:c>
      <x:c r="K92" s="15" t="n">
        <x:v>54.392698</x:v>
      </x:c>
      <x:c r="L92" s="15" t="n">
        <x:v>22.422595</x:v>
      </x:c>
      <x:c r="M92" s="15" t="n">
        <x:v>3.777919</x:v>
      </x:c>
      <x:c r="N92" s="15" t="n">
        <x:v>113184</x:v>
      </x:c>
      <x:c r="O92" s="15" t="n">
        <x:v>4923</x:v>
      </x:c>
      <x:c r="P92" s="15" t="n">
        <x:v>2883</x:v>
      </x:c>
      <x:c r="Q92" s="15" t="n">
        <x:v>1002</x:v>
      </x:c>
      <x:c r="R92" s="15" t="n">
        <x:v>5217</x:v>
      </x:c>
      <x:c r="S92" s="15" t="n">
        <x:v>1551</x:v>
      </x:c>
      <x:c r="T92" s="15" t="n">
        <x:v>9963</x:v>
      </x:c>
      <x:c r="U92" s="15" t="n">
        <x:v>1794</x:v>
      </x:c>
      <x:c r="V92" s="15" t="n">
        <x:v>15746</x:v>
      </x:c>
      <x:c r="W92" s="15" t="n">
        <x:v>2612</x:v>
      </x:c>
      <x:c r="X92" s="15" t="n">
        <x:v>15861</x:v>
      </x:c>
      <x:c r="Y92" s="15" t="n">
        <x:v>2880</x:v>
      </x:c>
      <x:c r="Z92" s="15" t="n">
        <x:v>10774</x:v>
      </x:c>
      <x:c r="AA92" s="15" t="n">
        <x:v>2060</x:v>
      </x:c>
      <x:c r="AB92" s="15" t="n">
        <x:v>7966</x:v>
      </x:c>
      <x:c r="AC92" s="15" t="n">
        <x:v>1666</x:v>
      </x:c>
      <x:c r="AD92" s="15" t="n">
        <x:v>16078</x:v>
      </x:c>
      <x:c r="AE92" s="15" t="n">
        <x:v>3167</x:v>
      </x:c>
      <x:c r="AF92" s="15" t="n">
        <x:v>24420</x:v>
      </x:c>
      <x:c r="AG92" s="15" t="n">
        <x:v>2960</x:v>
      </x:c>
      <x:c r="AH92" s="15" t="n">
        <x:v>4276</x:v>
      </x:c>
      <x:c r="AI92" s="15" t="n">
        <x:v>1167</x:v>
      </x:c>
    </x:row>
    <x:row r="93" ht="22" customHeight="1">
      <x:c r="A93" s="1" t="str">
        <x:v>310M700US17860</x:v>
      </x:c>
      <x:c r="B93" s="1" t="str">
        <x:v>17860</x:v>
      </x:c>
      <x:c r="C93" s="1" t="str">
        <x:v>Columbia, MO Metro Area</x:v>
      </x:c>
      <x:c r="D93" s="5" t="n">
        <x:v>2024</x:v>
      </x:c>
      <x:c r="E93" s="1" t="str">
        <x:v>ok</x:v>
      </x:c>
      <x:c r="F93" s="15" t="n">
        <x:v>37019</x:v>
      </x:c>
      <x:c r="G93" s="15" t="n">
        <x:v>2184</x:v>
      </x:c>
      <x:c r="H93" s="15" t="n">
        <x:v>34835</x:v>
      </x:c>
      <x:c r="I93" s="15" t="n">
        <x:v>15987</x:v>
      </x:c>
      <x:c r="J93" s="15" t="n">
        <x:v>7334</x:v>
      </x:c>
      <x:c r="K93" s="15" t="n">
        <x:v>45.893498</x:v>
      </x:c>
      <x:c r="L93" s="15" t="n">
        <x:v>21.053538</x:v>
      </x:c>
      <x:c r="M93" s="15" t="n">
        <x:v>5.899673</x:v>
      </x:c>
      <x:c r="N93" s="15" t="n">
        <x:v>37019</x:v>
      </x:c>
      <x:c r="O93" s="15" t="n">
        <x:v>2184</x:v>
      </x:c>
      <x:c r="P93" s="15" t="n">
        <x:v>1847</x:v>
      </x:c>
      <x:c r="Q93" s="15" t="n">
        <x:v>592</x:v>
      </x:c>
      <x:c r="R93" s="15" t="n">
        <x:v>3543</x:v>
      </x:c>
      <x:c r="S93" s="15" t="n">
        <x:v>1105</x:v>
      </x:c>
      <x:c r="T93" s="15" t="n">
        <x:v>5865</x:v>
      </x:c>
      <x:c r="U93" s="15" t="n">
        <x:v>1739</x:v>
      </x:c>
      <x:c r="V93" s="15" t="n">
        <x:v>4794</x:v>
      </x:c>
      <x:c r="W93" s="15" t="n">
        <x:v>1423</x:v>
      </x:c>
      <x:c r="X93" s="15" t="n">
        <x:v>2799</x:v>
      </x:c>
      <x:c r="Y93" s="15" t="n">
        <x:v>988</x:v>
      </x:c>
      <x:c r="Z93" s="15" t="n">
        <x:v>3281</x:v>
      </x:c>
      <x:c r="AA93" s="15" t="n">
        <x:v>1187</x:v>
      </x:c>
      <x:c r="AB93" s="15" t="n">
        <x:v>2103</x:v>
      </x:c>
      <x:c r="AC93" s="15" t="n">
        <x:v>941</x:v>
      </x:c>
      <x:c r="AD93" s="15" t="n">
        <x:v>3269</x:v>
      </x:c>
      <x:c r="AE93" s="15" t="n">
        <x:v>1316</x:v>
      </x:c>
      <x:c r="AF93" s="15" t="n">
        <x:v>7334</x:v>
      </x:c>
      <x:c r="AG93" s="15" t="n">
        <x:v>1701</x:v>
      </x:c>
      <x:c r="AH93" s="15" t="n">
        <x:v>2184</x:v>
      </x:c>
      <x:c r="AI93" s="15" t="n">
        <x:v>847</x:v>
      </x:c>
    </x:row>
    <x:row r="94" ht="22" customHeight="1">
      <x:c r="A94" s="1" t="str">
        <x:v>310M700US17900</x:v>
      </x:c>
      <x:c r="B94" s="1" t="str">
        <x:v>17900</x:v>
      </x:c>
      <x:c r="C94" s="1" t="str">
        <x:v>Columbia, SC Metro Area</x:v>
      </x:c>
      <x:c r="D94" s="5" t="n">
        <x:v>2024</x:v>
      </x:c>
      <x:c r="E94" s="1" t="str">
        <x:v>ok</x:v>
      </x:c>
      <x:c r="F94" s="15" t="n">
        <x:v>109140</x:v>
      </x:c>
      <x:c r="G94" s="15" t="n">
        <x:v>8780</x:v>
      </x:c>
      <x:c r="H94" s="15" t="n">
        <x:v>100360</x:v>
      </x:c>
      <x:c r="I94" s="15" t="n">
        <x:v>57721</x:v>
      </x:c>
      <x:c r="J94" s="15" t="n">
        <x:v>29040</x:v>
      </x:c>
      <x:c r="K94" s="15" t="n">
        <x:v>57.51395</x:v>
      </x:c>
      <x:c r="L94" s="15" t="n">
        <x:v>28.935831</x:v>
      </x:c>
      <x:c r="M94" s="15" t="n">
        <x:v>8.044713</x:v>
      </x:c>
      <x:c r="N94" s="15" t="n">
        <x:v>109140</x:v>
      </x:c>
      <x:c r="O94" s="15" t="n">
        <x:v>4756</x:v>
      </x:c>
      <x:c r="P94" s="15" t="n">
        <x:v>3218</x:v>
      </x:c>
      <x:c r="Q94" s="15" t="n">
        <x:v>1347</x:v>
      </x:c>
      <x:c r="R94" s="15" t="n">
        <x:v>8469</x:v>
      </x:c>
      <x:c r="S94" s="15" t="n">
        <x:v>2144</x:v>
      </x:c>
      <x:c r="T94" s="15" t="n">
        <x:v>8831</x:v>
      </x:c>
      <x:c r="U94" s="15" t="n">
        <x:v>2101</x:v>
      </x:c>
      <x:c r="V94" s="15" t="n">
        <x:v>11823</x:v>
      </x:c>
      <x:c r="W94" s="15" t="n">
        <x:v>2077</x:v>
      </x:c>
      <x:c r="X94" s="15" t="n">
        <x:v>10298</x:v>
      </x:c>
      <x:c r="Y94" s="15" t="n">
        <x:v>2350</x:v>
      </x:c>
      <x:c r="Z94" s="15" t="n">
        <x:v>10212</x:v>
      </x:c>
      <x:c r="AA94" s="15" t="n">
        <x:v>2276</x:v>
      </x:c>
      <x:c r="AB94" s="15" t="n">
        <x:v>8327</x:v>
      </x:c>
      <x:c r="AC94" s="15" t="n">
        <x:v>2099</x:v>
      </x:c>
      <x:c r="AD94" s="15" t="n">
        <x:v>10142</x:v>
      </x:c>
      <x:c r="AE94" s="15" t="n">
        <x:v>2300</x:v>
      </x:c>
      <x:c r="AF94" s="15" t="n">
        <x:v>29040</x:v>
      </x:c>
      <x:c r="AG94" s="15" t="n">
        <x:v>4112</x:v>
      </x:c>
      <x:c r="AH94" s="15" t="n">
        <x:v>8780</x:v>
      </x:c>
      <x:c r="AI94" s="15" t="n">
        <x:v>2033</x:v>
      </x:c>
    </x:row>
    <x:row r="95" ht="22" customHeight="1">
      <x:c r="A95" s="1" t="str">
        <x:v>310M700US17980</x:v>
      </x:c>
      <x:c r="B95" s="1" t="str">
        <x:v>17980</x:v>
      </x:c>
      <x:c r="C95" s="1" t="str">
        <x:v>Columbus, GA-AL Metro Area</x:v>
      </x:c>
      <x:c r="D95" s="5" t="n">
        <x:v>2024</x:v>
      </x:c>
      <x:c r="E95" s="1" t="str">
        <x:v>ok</x:v>
      </x:c>
      <x:c r="F95" s="15" t="n">
        <x:v>51918</x:v>
      </x:c>
      <x:c r="G95" s="15" t="n">
        <x:v>5449</x:v>
      </x:c>
      <x:c r="H95" s="15" t="n">
        <x:v>46469</x:v>
      </x:c>
      <x:c r="I95" s="15" t="n">
        <x:v>25232</x:v>
      </x:c>
      <x:c r="J95" s="15" t="n">
        <x:v>12356</x:v>
      </x:c>
      <x:c r="K95" s="15" t="n">
        <x:v>54.298565</x:v>
      </x:c>
      <x:c r="L95" s="15" t="n">
        <x:v>26.58977</x:v>
      </x:c>
      <x:c r="M95" s="15" t="n">
        <x:v>10.495397</x:v>
      </x:c>
      <x:c r="N95" s="15" t="n">
        <x:v>51918</x:v>
      </x:c>
      <x:c r="O95" s="15" t="n">
        <x:v>3461</x:v>
      </x:c>
      <x:c r="P95" s="15" t="n">
        <x:v>2288</x:v>
      </x:c>
      <x:c r="Q95" s="15" t="n">
        <x:v>918</x:v>
      </x:c>
      <x:c r="R95" s="15" t="n">
        <x:v>3124</x:v>
      </x:c>
      <x:c r="S95" s="15" t="n">
        <x:v>1249</x:v>
      </x:c>
      <x:c r="T95" s="15" t="n">
        <x:v>7208</x:v>
      </x:c>
      <x:c r="U95" s="15" t="n">
        <x:v>2069</x:v>
      </x:c>
      <x:c r="V95" s="15" t="n">
        <x:v>5313</x:v>
      </x:c>
      <x:c r="W95" s="15" t="n">
        <x:v>1486</x:v>
      </x:c>
      <x:c r="X95" s="15" t="n">
        <x:v>3304</x:v>
      </x:c>
      <x:c r="Y95" s="15" t="n">
        <x:v>987</x:v>
      </x:c>
      <x:c r="Z95" s="15" t="n">
        <x:v>5437</x:v>
      </x:c>
      <x:c r="AA95" s="15" t="n">
        <x:v>1655</x:v>
      </x:c>
      <x:c r="AB95" s="15" t="n">
        <x:v>3597</x:v>
      </x:c>
      <x:c r="AC95" s="15" t="n">
        <x:v>1146</x:v>
      </x:c>
      <x:c r="AD95" s="15" t="n">
        <x:v>3842</x:v>
      </x:c>
      <x:c r="AE95" s="15" t="n">
        <x:v>1527</x:v>
      </x:c>
      <x:c r="AF95" s="15" t="n">
        <x:v>12356</x:v>
      </x:c>
      <x:c r="AG95" s="15" t="n">
        <x:v>2659</x:v>
      </x:c>
      <x:c r="AH95" s="15" t="n">
        <x:v>5449</x:v>
      </x:c>
      <x:c r="AI95" s="15" t="n">
        <x:v>1792</x:v>
      </x:c>
    </x:row>
    <x:row r="96" ht="22" customHeight="1">
      <x:c r="A96" s="1" t="str">
        <x:v>310M700US18020</x:v>
      </x:c>
      <x:c r="B96" s="1" t="str">
        <x:v>18020</x:v>
      </x:c>
      <x:c r="C96" s="1" t="str">
        <x:v>Columbus, IN Metro Area</x:v>
      </x:c>
      <x:c r="D96" s="5" t="n">
        <x:v>2024</x:v>
      </x:c>
      <x:c r="E96" s="1" t="str">
        <x:v>ok</x:v>
      </x:c>
      <x:c r="F96" s="15" t="n">
        <x:v>9296</x:v>
      </x:c>
      <x:c r="G96" s="15" t="n">
        <x:v>780</x:v>
      </x:c>
      <x:c r="H96" s="15" t="n">
        <x:v>8516</x:v>
      </x:c>
      <x:c r="I96" s="15" t="n">
        <x:v>4181</x:v>
      </x:c>
      <x:c r="J96" s="15" t="n">
        <x:v>2075</x:v>
      </x:c>
      <x:c r="K96" s="15" t="n">
        <x:v>49.09582</x:v>
      </x:c>
      <x:c r="L96" s="15" t="n">
        <x:v>24.365899</x:v>
      </x:c>
      <x:c r="M96" s="15" t="n">
        <x:v>8.390706</x:v>
      </x:c>
      <x:c r="N96" s="15" t="n">
        <x:v>9296</x:v>
      </x:c>
      <x:c r="O96" s="15" t="n">
        <x:v>1490</x:v>
      </x:c>
      <x:c r="P96" s="15" t="n">
        <x:v>223</x:v>
      </x:c>
      <x:c r="Q96" s="15" t="n">
        <x:v>185</x:v>
      </x:c>
      <x:c r="R96" s="15" t="n">
        <x:v>1751</x:v>
      </x:c>
      <x:c r="S96" s="15" t="n">
        <x:v>980</x:v>
      </x:c>
      <x:c r="T96" s="15" t="n">
        <x:v>1173</x:v>
      </x:c>
      <x:c r="U96" s="15" t="n">
        <x:v>736</x:v>
      </x:c>
      <x:c r="V96" s="15" t="n">
        <x:v>494</x:v>
      </x:c>
      <x:c r="W96" s="15" t="n">
        <x:v>461</x:v>
      </x:c>
      <x:c r="X96" s="15" t="n">
        <x:v>694</x:v>
      </x:c>
      <x:c r="Y96" s="15" t="n">
        <x:v>503</x:v>
      </x:c>
      <x:c r="Z96" s="15" t="n">
        <x:v>502</x:v>
      </x:c>
      <x:c r="AA96" s="15" t="n">
        <x:v>410</x:v>
      </x:c>
      <x:c r="AB96" s="15" t="n">
        <x:v>1073</x:v>
      </x:c>
      <x:c r="AC96" s="15" t="n">
        <x:v>945</x:v>
      </x:c>
      <x:c r="AD96" s="15" t="n">
        <x:v>531</x:v>
      </x:c>
      <x:c r="AE96" s="15" t="n">
        <x:v>422</x:v>
      </x:c>
      <x:c r="AF96" s="15" t="n">
        <x:v>2075</x:v>
      </x:c>
      <x:c r="AG96" s="15" t="n">
        <x:v>835</x:v>
      </x:c>
      <x:c r="AH96" s="15" t="n">
        <x:v>780</x:v>
      </x:c>
      <x:c r="AI96" s="15" t="n">
        <x:v>558</x:v>
      </x:c>
    </x:row>
    <x:row r="97" ht="22" customHeight="1">
      <x:c r="A97" s="1" t="str">
        <x:v>310M700US18140</x:v>
      </x:c>
      <x:c r="B97" s="1" t="str">
        <x:v>18140</x:v>
      </x:c>
      <x:c r="C97" s="1" t="str">
        <x:v>Columbus, OH Metro Area</x:v>
      </x:c>
      <x:c r="D97" s="5" t="n">
        <x:v>2024</x:v>
      </x:c>
      <x:c r="E97" s="1" t="str">
        <x:v>ok</x:v>
      </x:c>
      <x:c r="F97" s="15" t="n">
        <x:v>332895</x:v>
      </x:c>
      <x:c r="G97" s="15" t="n">
        <x:v>17292</x:v>
      </x:c>
      <x:c r="H97" s="15" t="n">
        <x:v>315603</x:v>
      </x:c>
      <x:c r="I97" s="15" t="n">
        <x:v>158113</x:v>
      </x:c>
      <x:c r="J97" s="15" t="n">
        <x:v>74800</x:v>
      </x:c>
      <x:c r="K97" s="15" t="n">
        <x:v>50.0987</x:v>
      </x:c>
      <x:c r="L97" s="15" t="n">
        <x:v>23.700662</x:v>
      </x:c>
      <x:c r="M97" s="15" t="n">
        <x:v>5.194431</x:v>
      </x:c>
      <x:c r="N97" s="15" t="n">
        <x:v>332895</x:v>
      </x:c>
      <x:c r="O97" s="15" t="n">
        <x:v>7728</x:v>
      </x:c>
      <x:c r="P97" s="15" t="n">
        <x:v>9258</x:v>
      </x:c>
      <x:c r="Q97" s="15" t="n">
        <x:v>1644</x:v>
      </x:c>
      <x:c r="R97" s="15" t="n">
        <x:v>25408</x:v>
      </x:c>
      <x:c r="S97" s="15" t="n">
        <x:v>3037</x:v>
      </x:c>
      <x:c r="T97" s="15" t="n">
        <x:v>40432</x:v>
      </x:c>
      <x:c r="U97" s="15" t="n">
        <x:v>4016</x:v>
      </x:c>
      <x:c r="V97" s="15" t="n">
        <x:v>41017</x:v>
      </x:c>
      <x:c r="W97" s="15" t="n">
        <x:v>4106</x:v>
      </x:c>
      <x:c r="X97" s="15" t="n">
        <x:v>41375</x:v>
      </x:c>
      <x:c r="Y97" s="15" t="n">
        <x:v>4640</x:v>
      </x:c>
      <x:c r="Z97" s="15" t="n">
        <x:v>29651</x:v>
      </x:c>
      <x:c r="AA97" s="15" t="n">
        <x:v>3673</x:v>
      </x:c>
      <x:c r="AB97" s="15" t="n">
        <x:v>20953</x:v>
      </x:c>
      <x:c r="AC97" s="15" t="n">
        <x:v>2813</x:v>
      </x:c>
      <x:c r="AD97" s="15" t="n">
        <x:v>32709</x:v>
      </x:c>
      <x:c r="AE97" s="15" t="n">
        <x:v>3644</x:v>
      </x:c>
      <x:c r="AF97" s="15" t="n">
        <x:v>74800</x:v>
      </x:c>
      <x:c r="AG97" s="15" t="n">
        <x:v>5297</x:v>
      </x:c>
      <x:c r="AH97" s="15" t="n">
        <x:v>17292</x:v>
      </x:c>
      <x:c r="AI97" s="15" t="n">
        <x:v>2490</x:v>
      </x:c>
    </x:row>
    <x:row r="98" ht="22" customHeight="1">
      <x:c r="A98" s="1" t="str">
        <x:v>310M700US18580</x:v>
      </x:c>
      <x:c r="B98" s="1" t="str">
        <x:v>18580</x:v>
      </x:c>
      <x:c r="C98" s="1" t="str">
        <x:v>Corpus Christi, TX Metro Area</x:v>
      </x:c>
      <x:c r="D98" s="5" t="n">
        <x:v>2024</x:v>
      </x:c>
      <x:c r="E98" s="1" t="str">
        <x:v>ok</x:v>
      </x:c>
      <x:c r="F98" s="15" t="n">
        <x:v>67574</x:v>
      </x:c>
      <x:c r="G98" s="15" t="n">
        <x:v>3505</x:v>
      </x:c>
      <x:c r="H98" s="15" t="n">
        <x:v>64069</x:v>
      </x:c>
      <x:c r="I98" s="15" t="n">
        <x:v>32271</x:v>
      </x:c>
      <x:c r="J98" s="15" t="n">
        <x:v>13605</x:v>
      </x:c>
      <x:c r="K98" s="15" t="n">
        <x:v>50.369133</x:v>
      </x:c>
      <x:c r="L98" s="15" t="n">
        <x:v>21.234919</x:v>
      </x:c>
      <x:c r="M98" s="15" t="n">
        <x:v>5.186906</x:v>
      </x:c>
      <x:c r="N98" s="15" t="n">
        <x:v>67574</x:v>
      </x:c>
      <x:c r="O98" s="15" t="n">
        <x:v>4667</x:v>
      </x:c>
      <x:c r="P98" s="15" t="n">
        <x:v>1981</x:v>
      </x:c>
      <x:c r="Q98" s="15" t="n">
        <x:v>740</x:v>
      </x:c>
      <x:c r="R98" s="15" t="n">
        <x:v>3341</x:v>
      </x:c>
      <x:c r="S98" s="15" t="n">
        <x:v>1097</x:v>
      </x:c>
      <x:c r="T98" s="15" t="n">
        <x:v>7106</x:v>
      </x:c>
      <x:c r="U98" s="15" t="n">
        <x:v>2298</x:v>
      </x:c>
      <x:c r="V98" s="15" t="n">
        <x:v>8929</x:v>
      </x:c>
      <x:c r="W98" s="15" t="n">
        <x:v>2154</x:v>
      </x:c>
      <x:c r="X98" s="15" t="n">
        <x:v>10441</x:v>
      </x:c>
      <x:c r="Y98" s="15" t="n">
        <x:v>2294</x:v>
      </x:c>
      <x:c r="Z98" s="15" t="n">
        <x:v>7197</x:v>
      </x:c>
      <x:c r="AA98" s="15" t="n">
        <x:v>2155</x:v>
      </x:c>
      <x:c r="AB98" s="15" t="n">
        <x:v>4718</x:v>
      </x:c>
      <x:c r="AC98" s="15" t="n">
        <x:v>1488</x:v>
      </x:c>
      <x:c r="AD98" s="15" t="n">
        <x:v>6751</x:v>
      </x:c>
      <x:c r="AE98" s="15" t="n">
        <x:v>2113</x:v>
      </x:c>
      <x:c r="AF98" s="15" t="n">
        <x:v>13605</x:v>
      </x:c>
      <x:c r="AG98" s="15" t="n">
        <x:v>2319</x:v>
      </x:c>
      <x:c r="AH98" s="15" t="n">
        <x:v>3505</x:v>
      </x:c>
      <x:c r="AI98" s="15" t="n">
        <x:v>956</x:v>
      </x:c>
    </x:row>
    <x:row r="99" ht="22" customHeight="1">
      <x:c r="A99" s="1" t="str">
        <x:v>310M700US18700</x:v>
      </x:c>
      <x:c r="B99" s="1" t="str">
        <x:v>18700</x:v>
      </x:c>
      <x:c r="C99" s="1" t="str">
        <x:v>Corvallis, OR Metro Area</x:v>
      </x:c>
      <x:c r="D99" s="5" t="n">
        <x:v>2024</x:v>
      </x:c>
      <x:c r="E99" s="1" t="str">
        <x:v>ok</x:v>
      </x:c>
      <x:c r="F99" s="15" t="n">
        <x:v>15071</x:v>
      </x:c>
      <x:c r="G99" s="15" t="n">
        <x:v>1167</x:v>
      </x:c>
      <x:c r="H99" s="15" t="n">
        <x:v>13904</x:v>
      </x:c>
      <x:c r="I99" s="15" t="n">
        <x:v>8909</x:v>
      </x:c>
      <x:c r="J99" s="15" t="n">
        <x:v>6057</x:v>
      </x:c>
      <x:c r="K99" s="15" t="n">
        <x:v>64.075086</x:v>
      </x:c>
      <x:c r="L99" s="15" t="n">
        <x:v>43.563003</x:v>
      </x:c>
      <x:c r="M99" s="15" t="n">
        <x:v>7.743348</x:v>
      </x:c>
      <x:c r="N99" s="15" t="n">
        <x:v>15071</x:v>
      </x:c>
      <x:c r="O99" s="15" t="n">
        <x:v>1419</x:v>
      </x:c>
      <x:c r="P99" s="15" t="n">
        <x:v>332</x:v>
      </x:c>
      <x:c r="Q99" s="15" t="n">
        <x:v>278</x:v>
      </x:c>
      <x:c r="R99" s="15" t="n">
        <x:v>692</x:v>
      </x:c>
      <x:c r="S99" s="15" t="n">
        <x:v>377</x:v>
      </x:c>
      <x:c r="T99" s="15" t="n">
        <x:v>950</x:v>
      </x:c>
      <x:c r="U99" s="15" t="n">
        <x:v>524</x:v>
      </x:c>
      <x:c r="V99" s="15" t="n">
        <x:v>894</x:v>
      </x:c>
      <x:c r="W99" s="15" t="n">
        <x:v>473</x:v>
      </x:c>
      <x:c r="X99" s="15" t="n">
        <x:v>2127</x:v>
      </x:c>
      <x:c r="Y99" s="15" t="n">
        <x:v>753</x:v>
      </x:c>
      <x:c r="Z99" s="15" t="n">
        <x:v>627</x:v>
      </x:c>
      <x:c r="AA99" s="15" t="n">
        <x:v>363</x:v>
      </x:c>
      <x:c r="AB99" s="15" t="n">
        <x:v>1038</x:v>
      </x:c>
      <x:c r="AC99" s="15" t="n">
        <x:v>558</x:v>
      </x:c>
      <x:c r="AD99" s="15" t="n">
        <x:v>1187</x:v>
      </x:c>
      <x:c r="AE99" s="15" t="n">
        <x:v>553</x:v>
      </x:c>
      <x:c r="AF99" s="15" t="n">
        <x:v>6057</x:v>
      </x:c>
      <x:c r="AG99" s="15" t="n">
        <x:v>1278</x:v>
      </x:c>
      <x:c r="AH99" s="15" t="n">
        <x:v>1167</x:v>
      </x:c>
      <x:c r="AI99" s="15" t="n">
        <x:v>524</x:v>
      </x:c>
    </x:row>
    <x:row r="100" ht="22" customHeight="1">
      <x:c r="A100" s="1" t="str">
        <x:v>310M700US18880</x:v>
      </x:c>
      <x:c r="B100" s="1" t="str">
        <x:v>18880</x:v>
      </x:c>
      <x:c r="C100" s="1" t="str">
        <x:v>Crestview-Fort Walton Beach-Destin, FL Metro Area</x:v>
      </x:c>
      <x:c r="D100" s="5" t="n">
        <x:v>2024</x:v>
      </x:c>
      <x:c r="E100" s="1" t="str">
        <x:v>ok</x:v>
      </x:c>
      <x:c r="F100" s="15" t="n">
        <x:v>36878</x:v>
      </x:c>
      <x:c r="G100" s="15" t="n">
        <x:v>2370</x:v>
      </x:c>
      <x:c r="H100" s="15" t="n">
        <x:v>34508</x:v>
      </x:c>
      <x:c r="I100" s="15" t="n">
        <x:v>20630</x:v>
      </x:c>
      <x:c r="J100" s="15" t="n">
        <x:v>8722</x:v>
      </x:c>
      <x:c r="K100" s="15" t="n">
        <x:v>59.783239</x:v>
      </x:c>
      <x:c r="L100" s="15" t="n">
        <x:v>25.275298</x:v>
      </x:c>
      <x:c r="M100" s="15" t="n">
        <x:v>6.426596</x:v>
      </x:c>
      <x:c r="N100" s="15" t="n">
        <x:v>36878</x:v>
      </x:c>
      <x:c r="O100" s="15" t="n">
        <x:v>3480</x:v>
      </x:c>
      <x:c r="P100" s="15" t="n">
        <x:v>1055</x:v>
      </x:c>
      <x:c r="Q100" s="15" t="n">
        <x:v>545</x:v>
      </x:c>
      <x:c r="R100" s="15" t="n">
        <x:v>1172</x:v>
      </x:c>
      <x:c r="S100" s="15" t="n">
        <x:v>750</x:v>
      </x:c>
      <x:c r="T100" s="15" t="n">
        <x:v>3791</x:v>
      </x:c>
      <x:c r="U100" s="15" t="n">
        <x:v>1412</x:v>
      </x:c>
      <x:c r="V100" s="15" t="n">
        <x:v>2554</x:v>
      </x:c>
      <x:c r="W100" s="15" t="n">
        <x:v>891</x:v>
      </x:c>
      <x:c r="X100" s="15" t="n">
        <x:v>5306</x:v>
      </x:c>
      <x:c r="Y100" s="15" t="n">
        <x:v>1994</x:v>
      </x:c>
      <x:c r="Z100" s="15" t="n">
        <x:v>3962</x:v>
      </x:c>
      <x:c r="AA100" s="15" t="n">
        <x:v>1564</x:v>
      </x:c>
      <x:c r="AB100" s="15" t="n">
        <x:v>2806</x:v>
      </x:c>
      <x:c r="AC100" s="15" t="n">
        <x:v>1009</x:v>
      </x:c>
      <x:c r="AD100" s="15" t="n">
        <x:v>5140</x:v>
      </x:c>
      <x:c r="AE100" s="15" t="n">
        <x:v>1396</x:v>
      </x:c>
      <x:c r="AF100" s="15" t="n">
        <x:v>8722</x:v>
      </x:c>
      <x:c r="AG100" s="15" t="n">
        <x:v>1916</x:v>
      </x:c>
      <x:c r="AH100" s="15" t="n">
        <x:v>2370</x:v>
      </x:c>
      <x:c r="AI100" s="15" t="n">
        <x:v>759</x:v>
      </x:c>
    </x:row>
    <x:row r="101" ht="22" customHeight="1">
      <x:c r="A101" s="1" t="str">
        <x:v>310M700US19100</x:v>
      </x:c>
      <x:c r="B101" s="1" t="str">
        <x:v>19100</x:v>
      </x:c>
      <x:c r="C101" s="1" t="str">
        <x:v>Dallas-Fort Worth-Arlington, TX Metro Area</x:v>
      </x:c>
      <x:c r="D101" s="5" t="n">
        <x:v>2024</x:v>
      </x:c>
      <x:c r="E101" s="1" t="str">
        <x:v>ok</x:v>
      </x:c>
      <x:c r="F101" s="15" t="n">
        <x:v>1204598</x:v>
      </x:c>
      <x:c r="G101" s="15" t="n">
        <x:v>55843</x:v>
      </x:c>
      <x:c r="H101" s="15" t="n">
        <x:v>1148755</x:v>
      </x:c>
      <x:c r="I101" s="15" t="n">
        <x:v>602772</x:v>
      </x:c>
      <x:c r="J101" s="15" t="n">
        <x:v>290224</x:v>
      </x:c>
      <x:c r="K101" s="15" t="n">
        <x:v>52.471763</x:v>
      </x:c>
      <x:c r="L101" s="15" t="n">
        <x:v>25.264221</x:v>
      </x:c>
      <x:c r="M101" s="15" t="n">
        <x:v>4.63582</x:v>
      </x:c>
      <x:c r="N101" s="15" t="n">
        <x:v>1204598</x:v>
      </x:c>
      <x:c r="O101" s="15" t="n">
        <x:v>15198</x:v>
      </x:c>
      <x:c r="P101" s="15" t="n">
        <x:v>28026</x:v>
      </x:c>
      <x:c r="Q101" s="15" t="n">
        <x:v>3607</x:v>
      </x:c>
      <x:c r="R101" s="15" t="n">
        <x:v>76128</x:v>
      </x:c>
      <x:c r="S101" s="15" t="n">
        <x:v>6181</x:v>
      </x:c>
      <x:c r="T101" s="15" t="n">
        <x:v>133402</x:v>
      </x:c>
      <x:c r="U101" s="15" t="n">
        <x:v>6744</x:v>
      </x:c>
      <x:c r="V101" s="15" t="n">
        <x:v>162319</x:v>
      </x:c>
      <x:c r="W101" s="15" t="n">
        <x:v>9882</x:v>
      </x:c>
      <x:c r="X101" s="15" t="n">
        <x:v>146108</x:v>
      </x:c>
      <x:c r="Y101" s="15" t="n">
        <x:v>9407</x:v>
      </x:c>
      <x:c r="Z101" s="15" t="n">
        <x:v>110462</x:v>
      </x:c>
      <x:c r="AA101" s="15" t="n">
        <x:v>7579</x:v>
      </x:c>
      <x:c r="AB101" s="15" t="n">
        <x:v>87366</x:v>
      </x:c>
      <x:c r="AC101" s="15" t="n">
        <x:v>6358</x:v>
      </x:c>
      <x:c r="AD101" s="15" t="n">
        <x:v>114720</x:v>
      </x:c>
      <x:c r="AE101" s="15" t="n">
        <x:v>8201</x:v>
      </x:c>
      <x:c r="AF101" s="15" t="n">
        <x:v>290224</x:v>
      </x:c>
      <x:c r="AG101" s="15" t="n">
        <x:v>12138</x:v>
      </x:c>
      <x:c r="AH101" s="15" t="n">
        <x:v>55843</x:v>
      </x:c>
      <x:c r="AI101" s="15" t="n">
        <x:v>5239</x:v>
      </x:c>
    </x:row>
    <x:row r="102" ht="22" customHeight="1">
      <x:c r="A102" s="1" t="str">
        <x:v>310M700US19140</x:v>
      </x:c>
      <x:c r="B102" s="1" t="str">
        <x:v>19140</x:v>
      </x:c>
      <x:c r="C102" s="1" t="str">
        <x:v>Dalton, GA Metro Area</x:v>
      </x:c>
      <x:c r="D102" s="5" t="n">
        <x:v>2024</x:v>
      </x:c>
      <x:c r="E102" s="1" t="str">
        <x:v>ok</x:v>
      </x:c>
      <x:c r="F102" s="15" t="n">
        <x:v>16645</x:v>
      </x:c>
      <x:c r="G102" s="15" t="n">
        <x:v>1578</x:v>
      </x:c>
      <x:c r="H102" s="15" t="n">
        <x:v>15067</x:v>
      </x:c>
      <x:c r="I102" s="15" t="n">
        <x:v>6619</x:v>
      </x:c>
      <x:c r="J102" s="15" t="n">
        <x:v>3501</x:v>
      </x:c>
      <x:c r="K102" s="15" t="n">
        <x:v>43.930444</x:v>
      </x:c>
      <x:c r="L102" s="15" t="n">
        <x:v>23.236212</x:v>
      </x:c>
      <x:c r="M102" s="15" t="n">
        <x:v>9.480324</x:v>
      </x:c>
      <x:c r="N102" s="15" t="n">
        <x:v>16645</x:v>
      </x:c>
      <x:c r="O102" s="15" t="n">
        <x:v>2055</x:v>
      </x:c>
      <x:c r="P102" s="15" t="n">
        <x:v>1105</x:v>
      </x:c>
      <x:c r="Q102" s="15" t="n">
        <x:v>757</x:v>
      </x:c>
      <x:c r="R102" s="15" t="n">
        <x:v>1975</x:v>
      </x:c>
      <x:c r="S102" s="15" t="n">
        <x:v>848</x:v>
      </x:c>
      <x:c r="T102" s="15" t="n">
        <x:v>2780</x:v>
      </x:c>
      <x:c r="U102" s="15" t="n">
        <x:v>1086</x:v>
      </x:c>
      <x:c r="V102" s="15" t="n">
        <x:v>1899</x:v>
      </x:c>
      <x:c r="W102" s="15" t="n">
        <x:v>860</x:v>
      </x:c>
      <x:c r="X102" s="15" t="n">
        <x:v>689</x:v>
      </x:c>
      <x:c r="Y102" s="15" t="n">
        <x:v>458</x:v>
      </x:c>
      <x:c r="Z102" s="15" t="n">
        <x:v>855</x:v>
      </x:c>
      <x:c r="AA102" s="15" t="n">
        <x:v>640</x:v>
      </x:c>
      <x:c r="AB102" s="15" t="n">
        <x:v>1139</x:v>
      </x:c>
      <x:c r="AC102" s="15" t="n">
        <x:v>729</x:v>
      </x:c>
      <x:c r="AD102" s="15" t="n">
        <x:v>1124</x:v>
      </x:c>
      <x:c r="AE102" s="15" t="n">
        <x:v>648</x:v>
      </x:c>
      <x:c r="AF102" s="15" t="n">
        <x:v>3501</x:v>
      </x:c>
      <x:c r="AG102" s="15" t="n">
        <x:v>1283</x:v>
      </x:c>
      <x:c r="AH102" s="15" t="n">
        <x:v>1578</x:v>
      </x:c>
      <x:c r="AI102" s="15" t="n">
        <x:v>762</x:v>
      </x:c>
    </x:row>
    <x:row r="103" ht="22" customHeight="1">
      <x:c r="A103" s="1" t="str">
        <x:v>310M700US19300</x:v>
      </x:c>
      <x:c r="B103" s="1" t="str">
        <x:v>19300</x:v>
      </x:c>
      <x:c r="C103" s="1" t="str">
        <x:v>Daphne-Fairhope-Foley, AL Metro Area</x:v>
      </x:c>
      <x:c r="D103" s="5" t="n">
        <x:v>2024</x:v>
      </x:c>
      <x:c r="E103" s="1" t="str">
        <x:v>ok</x:v>
      </x:c>
      <x:c r="F103" s="15" t="n">
        <x:v>22583</x:v>
      </x:c>
      <x:c r="G103" s="15" t="n">
        <x:v>3472</x:v>
      </x:c>
      <x:c r="H103" s="15" t="n">
        <x:v>19111</x:v>
      </x:c>
      <x:c r="I103" s="15" t="n">
        <x:v>9323</x:v>
      </x:c>
      <x:c r="J103" s="15" t="n">
        <x:v>5113</x:v>
      </x:c>
      <x:c r="K103" s="15" t="n">
        <x:v>48.783423</x:v>
      </x:c>
      <x:c r="L103" s="15" t="n">
        <x:v>26.754225</x:v>
      </x:c>
      <x:c r="M103" s="15" t="n">
        <x:v>15.374397</x:v>
      </x:c>
      <x:c r="N103" s="15" t="n">
        <x:v>22583</x:v>
      </x:c>
      <x:c r="O103" s="15" t="n">
        <x:v>3223</x:v>
      </x:c>
      <x:c r="P103" s="15" t="n">
        <x:v>549</x:v>
      </x:c>
      <x:c r="Q103" s="15" t="n">
        <x:v>445</x:v>
      </x:c>
      <x:c r="R103" s="15" t="n">
        <x:v>2281</x:v>
      </x:c>
      <x:c r="S103" s="15" t="n">
        <x:v>1226</x:v>
      </x:c>
      <x:c r="T103" s="15" t="n">
        <x:v>1164</x:v>
      </x:c>
      <x:c r="U103" s="15" t="n">
        <x:v>906</x:v>
      </x:c>
      <x:c r="V103" s="15" t="n">
        <x:v>2905</x:v>
      </x:c>
      <x:c r="W103" s="15" t="n">
        <x:v>1171</x:v>
      </x:c>
      <x:c r="X103" s="15" t="n">
        <x:v>2889</x:v>
      </x:c>
      <x:c r="Y103" s="15" t="n">
        <x:v>1285</x:v>
      </x:c>
      <x:c r="Z103" s="15" t="n">
        <x:v>951</x:v>
      </x:c>
      <x:c r="AA103" s="15" t="n">
        <x:v>777</x:v>
      </x:c>
      <x:c r="AB103" s="15" t="n">
        <x:v>1657</x:v>
      </x:c>
      <x:c r="AC103" s="15" t="n">
        <x:v>1071</x:v>
      </x:c>
      <x:c r="AD103" s="15" t="n">
        <x:v>1602</x:v>
      </x:c>
      <x:c r="AE103" s="15" t="n">
        <x:v>836</x:v>
      </x:c>
      <x:c r="AF103" s="15" t="n">
        <x:v>5113</x:v>
      </x:c>
      <x:c r="AG103" s="15" t="n">
        <x:v>1655</x:v>
      </x:c>
      <x:c r="AH103" s="15" t="n">
        <x:v>3472</x:v>
      </x:c>
      <x:c r="AI103" s="15" t="n">
        <x:v>1428</x:v>
      </x:c>
    </x:row>
    <x:row r="104" ht="22" customHeight="1">
      <x:c r="A104" s="1" t="str">
        <x:v>310M700US19340</x:v>
      </x:c>
      <x:c r="B104" s="1" t="str">
        <x:v>19340</x:v>
      </x:c>
      <x:c r="C104" s="1" t="str">
        <x:v>Davenport-Moline-Rock Island, IA-IL Metro Area</x:v>
      </x:c>
      <x:c r="D104" s="5" t="n">
        <x:v>2024</x:v>
      </x:c>
      <x:c r="E104" s="1" t="str">
        <x:v>ok</x:v>
      </x:c>
      <x:c r="F104" s="15" t="n">
        <x:v>47778</x:v>
      </x:c>
      <x:c r="G104" s="15" t="n">
        <x:v>3421</x:v>
      </x:c>
      <x:c r="H104" s="15" t="n">
        <x:v>44357</x:v>
      </x:c>
      <x:c r="I104" s="15" t="n">
        <x:v>19635</x:v>
      </x:c>
      <x:c r="J104" s="15" t="n">
        <x:v>10296</x:v>
      </x:c>
      <x:c r="K104" s="15" t="n">
        <x:v>44.265843</x:v>
      </x:c>
      <x:c r="L104" s="15" t="n">
        <x:v>23.211669</x:v>
      </x:c>
      <x:c r="M104" s="15" t="n">
        <x:v>7.160199</x:v>
      </x:c>
      <x:c r="N104" s="15" t="n">
        <x:v>47778</x:v>
      </x:c>
      <x:c r="O104" s="15" t="n">
        <x:v>3033</x:v>
      </x:c>
      <x:c r="P104" s="15" t="n">
        <x:v>3879</x:v>
      </x:c>
      <x:c r="Q104" s="15" t="n">
        <x:v>1095</x:v>
      </x:c>
      <x:c r="R104" s="15" t="n">
        <x:v>6175</x:v>
      </x:c>
      <x:c r="S104" s="15" t="n">
        <x:v>1414</x:v>
      </x:c>
      <x:c r="T104" s="15" t="n">
        <x:v>5297</x:v>
      </x:c>
      <x:c r="U104" s="15" t="n">
        <x:v>1225</x:v>
      </x:c>
      <x:c r="V104" s="15" t="n">
        <x:v>4788</x:v>
      </x:c>
      <x:c r="W104" s="15" t="n">
        <x:v>1039</x:v>
      </x:c>
      <x:c r="X104" s="15" t="n">
        <x:v>4583</x:v>
      </x:c>
      <x:c r="Y104" s="15" t="n">
        <x:v>1257</x:v>
      </x:c>
      <x:c r="Z104" s="15" t="n">
        <x:v>3200</x:v>
      </x:c>
      <x:c r="AA104" s="15" t="n">
        <x:v>1039</x:v>
      </x:c>
      <x:c r="AB104" s="15" t="n">
        <x:v>3201</x:v>
      </x:c>
      <x:c r="AC104" s="15" t="n">
        <x:v>956</x:v>
      </x:c>
      <x:c r="AD104" s="15" t="n">
        <x:v>2938</x:v>
      </x:c>
      <x:c r="AE104" s="15" t="n">
        <x:v>985</x:v>
      </x:c>
      <x:c r="AF104" s="15" t="n">
        <x:v>10296</x:v>
      </x:c>
      <x:c r="AG104" s="15" t="n">
        <x:v>1902</x:v>
      </x:c>
      <x:c r="AH104" s="15" t="n">
        <x:v>3421</x:v>
      </x:c>
      <x:c r="AI104" s="15" t="n">
        <x:v>1030</x:v>
      </x:c>
    </x:row>
    <x:row r="105" ht="22" customHeight="1">
      <x:c r="A105" s="1" t="str">
        <x:v>310M700US19430</x:v>
      </x:c>
      <x:c r="B105" s="1" t="str">
        <x:v>19430</x:v>
      </x:c>
      <x:c r="C105" s="1" t="str">
        <x:v>Dayton-Kettering-Beavercreek, OH Metro Area</x:v>
      </x:c>
      <x:c r="D105" s="5" t="n">
        <x:v>2024</x:v>
      </x:c>
      <x:c r="E105" s="1" t="str">
        <x:v>ok</x:v>
      </x:c>
      <x:c r="F105" s="15" t="n">
        <x:v>118136</x:v>
      </x:c>
      <x:c r="G105" s="15" t="n">
        <x:v>7970</x:v>
      </x:c>
      <x:c r="H105" s="15" t="n">
        <x:v>110166</x:v>
      </x:c>
      <x:c r="I105" s="15" t="n">
        <x:v>53720</x:v>
      </x:c>
      <x:c r="J105" s="15" t="n">
        <x:v>27851</x:v>
      </x:c>
      <x:c r="K105" s="15" t="n">
        <x:v>48.762776</x:v>
      </x:c>
      <x:c r="L105" s="15" t="n">
        <x:v>25.28094</x:v>
      </x:c>
      <x:c r="M105" s="15" t="n">
        <x:v>6.746462</x:v>
      </x:c>
      <x:c r="N105" s="15" t="n">
        <x:v>118136</x:v>
      </x:c>
      <x:c r="O105" s="15" t="n">
        <x:v>4776</x:v>
      </x:c>
      <x:c r="P105" s="15" t="n">
        <x:v>3321</x:v>
      </x:c>
      <x:c r="Q105" s="15" t="n">
        <x:v>1049</x:v>
      </x:c>
      <x:c r="R105" s="15" t="n">
        <x:v>12681</x:v>
      </x:c>
      <x:c r="S105" s="15" t="n">
        <x:v>2490</x:v>
      </x:c>
      <x:c r="T105" s="15" t="n">
        <x:v>13615</x:v>
      </x:c>
      <x:c r="U105" s="15" t="n">
        <x:v>2066</x:v>
      </x:c>
      <x:c r="V105" s="15" t="n">
        <x:v>14622</x:v>
      </x:c>
      <x:c r="W105" s="15" t="n">
        <x:v>2298</x:v>
      </x:c>
      <x:c r="X105" s="15" t="n">
        <x:v>12207</x:v>
      </x:c>
      <x:c r="Y105" s="15" t="n">
        <x:v>2523</x:v>
      </x:c>
      <x:c r="Z105" s="15" t="n">
        <x:v>9966</x:v>
      </x:c>
      <x:c r="AA105" s="15" t="n">
        <x:v>1800</x:v>
      </x:c>
      <x:c r="AB105" s="15" t="n">
        <x:v>7756</x:v>
      </x:c>
      <x:c r="AC105" s="15" t="n">
        <x:v>2082</x:v>
      </x:c>
      <x:c r="AD105" s="15" t="n">
        <x:v>8147</x:v>
      </x:c>
      <x:c r="AE105" s="15" t="n">
        <x:v>1743</x:v>
      </x:c>
      <x:c r="AF105" s="15" t="n">
        <x:v>27851</x:v>
      </x:c>
      <x:c r="AG105" s="15" t="n">
        <x:v>3444</x:v>
      </x:c>
      <x:c r="AH105" s="15" t="n">
        <x:v>7970</x:v>
      </x:c>
      <x:c r="AI105" s="15" t="n">
        <x:v>1872</x:v>
      </x:c>
    </x:row>
    <x:row r="106" ht="22" customHeight="1">
      <x:c r="A106" s="1" t="str">
        <x:v>310M700US19460</x:v>
      </x:c>
      <x:c r="B106" s="1" t="str">
        <x:v>19460</x:v>
      </x:c>
      <x:c r="C106" s="1" t="str">
        <x:v>Decatur, AL Metro Area</x:v>
      </x:c>
      <x:c r="D106" s="5" t="n">
        <x:v>2024</x:v>
      </x:c>
      <x:c r="E106" s="1" t="str">
        <x:v>ok</x:v>
      </x:c>
      <x:c r="F106" s="15" t="n">
        <x:v>16791</x:v>
      </x:c>
      <x:c r="G106" s="15" t="n">
        <x:v>2772</x:v>
      </x:c>
      <x:c r="H106" s="15" t="n">
        <x:v>14019</x:v>
      </x:c>
      <x:c r="I106" s="15" t="n">
        <x:v>6352</x:v>
      </x:c>
      <x:c r="J106" s="15" t="n">
        <x:v>2593</x:v>
      </x:c>
      <x:c r="K106" s="15" t="n">
        <x:v>45.309937</x:v>
      </x:c>
      <x:c r="L106" s="15" t="n">
        <x:v>18.496326</x:v>
      </x:c>
      <x:c r="M106" s="15" t="n">
        <x:v>16.508844</x:v>
      </x:c>
      <x:c r="N106" s="15" t="n">
        <x:v>16791</x:v>
      </x:c>
      <x:c r="O106" s="15" t="n">
        <x:v>2081</x:v>
      </x:c>
      <x:c r="P106" s="15" t="n">
        <x:v>582</x:v>
      </x:c>
      <x:c r="Q106" s="15" t="n">
        <x:v>374</x:v>
      </x:c>
      <x:c r="R106" s="15" t="n">
        <x:v>2418</x:v>
      </x:c>
      <x:c r="S106" s="15" t="n">
        <x:v>1049</x:v>
      </x:c>
      <x:c r="T106" s="15" t="n">
        <x:v>1295</x:v>
      </x:c>
      <x:c r="U106" s="15" t="n">
        <x:v>831</x:v>
      </x:c>
      <x:c r="V106" s="15" t="n">
        <x:v>1491</x:v>
      </x:c>
      <x:c r="W106" s="15" t="n">
        <x:v>574</x:v>
      </x:c>
      <x:c r="X106" s="15" t="n">
        <x:v>1881</x:v>
      </x:c>
      <x:c r="Y106" s="15" t="n">
        <x:v>801</x:v>
      </x:c>
      <x:c r="Z106" s="15" t="n">
        <x:v>1216</x:v>
      </x:c>
      <x:c r="AA106" s="15" t="n">
        <x:v>619</x:v>
      </x:c>
      <x:c r="AB106" s="15" t="n">
        <x:v>792</x:v>
      </x:c>
      <x:c r="AC106" s="15" t="n">
        <x:v>475</x:v>
      </x:c>
      <x:c r="AD106" s="15" t="n">
        <x:v>1751</x:v>
      </x:c>
      <x:c r="AE106" s="15" t="n">
        <x:v>895</x:v>
      </x:c>
      <x:c r="AF106" s="15" t="n">
        <x:v>2593</x:v>
      </x:c>
      <x:c r="AG106" s="15" t="n">
        <x:v>976</x:v>
      </x:c>
      <x:c r="AH106" s="15" t="n">
        <x:v>2772</x:v>
      </x:c>
      <x:c r="AI106" s="15" t="n">
        <x:v>934</x:v>
      </x:c>
    </x:row>
    <x:row r="107" ht="22" customHeight="1">
      <x:c r="A107" s="1" t="str">
        <x:v>310M700US19500</x:v>
      </x:c>
      <x:c r="B107" s="1" t="str">
        <x:v>19500</x:v>
      </x:c>
      <x:c r="C107" s="1" t="str">
        <x:v>Decatur, IL Metro Area</x:v>
      </x:c>
      <x:c r="D107" s="5" t="n">
        <x:v>2024</x:v>
      </x:c>
      <x:c r="E107" s="1" t="str">
        <x:v>ok</x:v>
      </x:c>
      <x:c r="F107" s="15" t="n">
        <x:v>13186</x:v>
      </x:c>
      <x:c r="G107" s="15" t="n">
        <x:v>1975</x:v>
      </x:c>
      <x:c r="H107" s="15" t="n">
        <x:v>11211</x:v>
      </x:c>
      <x:c r="I107" s="15" t="n">
        <x:v>5122</x:v>
      </x:c>
      <x:c r="J107" s="15" t="n">
        <x:v>2466</x:v>
      </x:c>
      <x:c r="K107" s="15" t="n">
        <x:v>45.687271</x:v>
      </x:c>
      <x:c r="L107" s="15" t="n">
        <x:v>21.996254</x:v>
      </x:c>
      <x:c r="M107" s="15" t="n">
        <x:v>14.978007</x:v>
      </x:c>
      <x:c r="N107" s="15" t="n">
        <x:v>13186</x:v>
      </x:c>
      <x:c r="O107" s="15" t="n">
        <x:v>1876</x:v>
      </x:c>
      <x:c r="P107" s="15" t="n">
        <x:v>668</x:v>
      </x:c>
      <x:c r="Q107" s="15" t="n">
        <x:v>374</x:v>
      </x:c>
      <x:c r="R107" s="15" t="n">
        <x:v>1454</x:v>
      </x:c>
      <x:c r="S107" s="15" t="n">
        <x:v>627</x:v>
      </x:c>
      <x:c r="T107" s="15" t="n">
        <x:v>1515</x:v>
      </x:c>
      <x:c r="U107" s="15" t="n">
        <x:v>803</x:v>
      </x:c>
      <x:c r="V107" s="15" t="n">
        <x:v>1326</x:v>
      </x:c>
      <x:c r="W107" s="15" t="n">
        <x:v>568</x:v>
      </x:c>
      <x:c r="X107" s="15" t="n">
        <x:v>1126</x:v>
      </x:c>
      <x:c r="Y107" s="15" t="n">
        <x:v>595</x:v>
      </x:c>
      <x:c r="Z107" s="15" t="n">
        <x:v>787</x:v>
      </x:c>
      <x:c r="AA107" s="15" t="n">
        <x:v>431</x:v>
      </x:c>
      <x:c r="AB107" s="15" t="n">
        <x:v>953</x:v>
      </x:c>
      <x:c r="AC107" s="15" t="n">
        <x:v>707</x:v>
      </x:c>
      <x:c r="AD107" s="15" t="n">
        <x:v>916</x:v>
      </x:c>
      <x:c r="AE107" s="15" t="n">
        <x:v>600</x:v>
      </x:c>
      <x:c r="AF107" s="15" t="n">
        <x:v>2466</x:v>
      </x:c>
      <x:c r="AG107" s="15" t="n">
        <x:v>897</x:v>
      </x:c>
      <x:c r="AH107" s="15" t="n">
        <x:v>1975</x:v>
      </x:c>
      <x:c r="AI107" s="15" t="n">
        <x:v>931</x:v>
      </x:c>
    </x:row>
    <x:row r="108" ht="22" customHeight="1">
      <x:c r="A108" s="1" t="str">
        <x:v>310M700US19660</x:v>
      </x:c>
      <x:c r="B108" s="1" t="str">
        <x:v>19660</x:v>
      </x:c>
      <x:c r="C108" s="1" t="str">
        <x:v>Deltona-Daytona Beach-Ormond Beach, FL Metro Area</x:v>
      </x:c>
      <x:c r="D108" s="5" t="n">
        <x:v>2024</x:v>
      </x:c>
      <x:c r="E108" s="1" t="str">
        <x:v>ok</x:v>
      </x:c>
      <x:c r="F108" s="15" t="n">
        <x:v>71004</x:v>
      </x:c>
      <x:c r="G108" s="15" t="n">
        <x:v>5225</x:v>
      </x:c>
      <x:c r="H108" s="15" t="n">
        <x:v>65779</x:v>
      </x:c>
      <x:c r="I108" s="15" t="n">
        <x:v>40306</x:v>
      </x:c>
      <x:c r="J108" s="15" t="n">
        <x:v>21082</x:v>
      </x:c>
      <x:c r="K108" s="15" t="n">
        <x:v>61.274875</x:v>
      </x:c>
      <x:c r="L108" s="15" t="n">
        <x:v>32.049742</x:v>
      </x:c>
      <x:c r="M108" s="15" t="n">
        <x:v>7.35874</x:v>
      </x:c>
      <x:c r="N108" s="15" t="n">
        <x:v>71004</x:v>
      </x:c>
      <x:c r="O108" s="15" t="n">
        <x:v>4950</x:v>
      </x:c>
      <x:c r="P108" s="15" t="n">
        <x:v>537</x:v>
      </x:c>
      <x:c r="Q108" s="15" t="n">
        <x:v>339</x:v>
      </x:c>
      <x:c r="R108" s="15" t="n">
        <x:v>3978</x:v>
      </x:c>
      <x:c r="S108" s="15" t="n">
        <x:v>1346</x:v>
      </x:c>
      <x:c r="T108" s="15" t="n">
        <x:v>5635</x:v>
      </x:c>
      <x:c r="U108" s="15" t="n">
        <x:v>1735</x:v>
      </x:c>
      <x:c r="V108" s="15" t="n">
        <x:v>7268</x:v>
      </x:c>
      <x:c r="W108" s="15" t="n">
        <x:v>2292</x:v>
      </x:c>
      <x:c r="X108" s="15" t="n">
        <x:v>8055</x:v>
      </x:c>
      <x:c r="Y108" s="15" t="n">
        <x:v>2392</x:v>
      </x:c>
      <x:c r="Z108" s="15" t="n">
        <x:v>5823</x:v>
      </x:c>
      <x:c r="AA108" s="15" t="n">
        <x:v>1889</x:v>
      </x:c>
      <x:c r="AB108" s="15" t="n">
        <x:v>5893</x:v>
      </x:c>
      <x:c r="AC108" s="15" t="n">
        <x:v>1655</x:v>
      </x:c>
      <x:c r="AD108" s="15" t="n">
        <x:v>7508</x:v>
      </x:c>
      <x:c r="AE108" s="15" t="n">
        <x:v>1615</x:v>
      </x:c>
      <x:c r="AF108" s="15" t="n">
        <x:v>21082</x:v>
      </x:c>
      <x:c r="AG108" s="15" t="n">
        <x:v>2820</x:v>
      </x:c>
      <x:c r="AH108" s="15" t="n">
        <x:v>5225</x:v>
      </x:c>
      <x:c r="AI108" s="15" t="n">
        <x:v>1511</x:v>
      </x:c>
    </x:row>
    <x:row r="109" ht="22" customHeight="1">
      <x:c r="A109" s="1" t="str">
        <x:v>310M700US19740</x:v>
      </x:c>
      <x:c r="B109" s="1" t="str">
        <x:v>19740</x:v>
      </x:c>
      <x:c r="C109" s="1" t="str">
        <x:v>Denver-Aurora-Centennial, CO Metro Area</x:v>
      </x:c>
      <x:c r="D109" s="5" t="n">
        <x:v>2024</x:v>
      </x:c>
      <x:c r="E109" s="1" t="str">
        <x:v>ok</x:v>
      </x:c>
      <x:c r="F109" s="15" t="n">
        <x:v>457427</x:v>
      </x:c>
      <x:c r="G109" s="15" t="n">
        <x:v>18218</x:v>
      </x:c>
      <x:c r="H109" s="15" t="n">
        <x:v>439209</x:v>
      </x:c>
      <x:c r="I109" s="15" t="n">
        <x:v>225968</x:v>
      </x:c>
      <x:c r="J109" s="15" t="n">
        <x:v>104783</x:v>
      </x:c>
      <x:c r="K109" s="15" t="n">
        <x:v>51.448855</x:v>
      </x:c>
      <x:c r="L109" s="15" t="n">
        <x:v>23.857207</x:v>
      </x:c>
      <x:c r="M109" s="15" t="n">
        <x:v>3.982712</x:v>
      </x:c>
      <x:c r="N109" s="15" t="n">
        <x:v>457427</x:v>
      </x:c>
      <x:c r="O109" s="15" t="n">
        <x:v>9370</x:v>
      </x:c>
      <x:c r="P109" s="15" t="n">
        <x:v>8666</x:v>
      </x:c>
      <x:c r="Q109" s="15" t="n">
        <x:v>2143</x:v>
      </x:c>
      <x:c r="R109" s="15" t="n">
        <x:v>27476</x:v>
      </x:c>
      <x:c r="S109" s="15" t="n">
        <x:v>3620</x:v>
      </x:c>
      <x:c r="T109" s="15" t="n">
        <x:v>52128</x:v>
      </x:c>
      <x:c r="U109" s="15" t="n">
        <x:v>4692</x:v>
      </x:c>
      <x:c r="V109" s="15" t="n">
        <x:v>59966</x:v>
      </x:c>
      <x:c r="W109" s="15" t="n">
        <x:v>4886</x:v>
      </x:c>
      <x:c r="X109" s="15" t="n">
        <x:v>65005</x:v>
      </x:c>
      <x:c r="Y109" s="15" t="n">
        <x:v>5721</x:v>
      </x:c>
      <x:c r="Z109" s="15" t="n">
        <x:v>45249</x:v>
      </x:c>
      <x:c r="AA109" s="15" t="n">
        <x:v>4458</x:v>
      </x:c>
      <x:c r="AB109" s="15" t="n">
        <x:v>29818</x:v>
      </x:c>
      <x:c r="AC109" s="15" t="n">
        <x:v>3445</x:v>
      </x:c>
      <x:c r="AD109" s="15" t="n">
        <x:v>46118</x:v>
      </x:c>
      <x:c r="AE109" s="15" t="n">
        <x:v>4963</x:v>
      </x:c>
      <x:c r="AF109" s="15" t="n">
        <x:v>104783</x:v>
      </x:c>
      <x:c r="AG109" s="15" t="n">
        <x:v>6704</x:v>
      </x:c>
      <x:c r="AH109" s="15" t="n">
        <x:v>18218</x:v>
      </x:c>
      <x:c r="AI109" s="15" t="n">
        <x:v>2436</x:v>
      </x:c>
    </x:row>
    <x:row r="110" ht="22" customHeight="1">
      <x:c r="A110" s="1" t="str">
        <x:v>310M700US19780</x:v>
      </x:c>
      <x:c r="B110" s="1" t="str">
        <x:v>19780</x:v>
      </x:c>
      <x:c r="C110" s="1" t="str">
        <x:v>Des Moines-West Des Moines, IA Metro Area</x:v>
      </x:c>
      <x:c r="D110" s="5" t="n">
        <x:v>2024</x:v>
      </x:c>
      <x:c r="E110" s="1" t="str">
        <x:v>ok</x:v>
      </x:c>
      <x:c r="F110" s="15" t="n">
        <x:v>97325</x:v>
      </x:c>
      <x:c r="G110" s="15" t="n">
        <x:v>4299</x:v>
      </x:c>
      <x:c r="H110" s="15" t="n">
        <x:v>93026</x:v>
      </x:c>
      <x:c r="I110" s="15" t="n">
        <x:v>42278</x:v>
      </x:c>
      <x:c r="J110" s="15" t="n">
        <x:v>16758</x:v>
      </x:c>
      <x:c r="K110" s="15" t="n">
        <x:v>45.447509</x:v>
      </x:c>
      <x:c r="L110" s="15" t="n">
        <x:v>18.014319</x:v>
      </x:c>
      <x:c r="M110" s="15" t="n">
        <x:v>4.417159</x:v>
      </x:c>
      <x:c r="N110" s="15" t="n">
        <x:v>97325</x:v>
      </x:c>
      <x:c r="O110" s="15" t="n">
        <x:v>4781</x:v>
      </x:c>
      <x:c r="P110" s="15" t="n">
        <x:v>4590</x:v>
      </x:c>
      <x:c r="Q110" s="15" t="n">
        <x:v>1478</x:v>
      </x:c>
      <x:c r="R110" s="15" t="n">
        <x:v>9919</x:v>
      </x:c>
      <x:c r="S110" s="15" t="n">
        <x:v>2042</x:v>
      </x:c>
      <x:c r="T110" s="15" t="n">
        <x:v>11387</x:v>
      </x:c>
      <x:c r="U110" s="15" t="n">
        <x:v>2366</x:v>
      </x:c>
      <x:c r="V110" s="15" t="n">
        <x:v>12717</x:v>
      </x:c>
      <x:c r="W110" s="15" t="n">
        <x:v>2294</x:v>
      </x:c>
      <x:c r="X110" s="15" t="n">
        <x:v>12135</x:v>
      </x:c>
      <x:c r="Y110" s="15" t="n">
        <x:v>2436</x:v>
      </x:c>
      <x:c r="Z110" s="15" t="n">
        <x:v>9930</x:v>
      </x:c>
      <x:c r="AA110" s="15" t="n">
        <x:v>1978</x:v>
      </x:c>
      <x:c r="AB110" s="15" t="n">
        <x:v>7616</x:v>
      </x:c>
      <x:c r="AC110" s="15" t="n">
        <x:v>1822</x:v>
      </x:c>
      <x:c r="AD110" s="15" t="n">
        <x:v>7974</x:v>
      </x:c>
      <x:c r="AE110" s="15" t="n">
        <x:v>1769</x:v>
      </x:c>
      <x:c r="AF110" s="15" t="n">
        <x:v>16758</x:v>
      </x:c>
      <x:c r="AG110" s="15" t="n">
        <x:v>2236</x:v>
      </x:c>
      <x:c r="AH110" s="15" t="n">
        <x:v>4299</x:v>
      </x:c>
      <x:c r="AI110" s="15" t="n">
        <x:v>1393</x:v>
      </x:c>
    </x:row>
    <x:row r="111" ht="22" customHeight="1">
      <x:c r="A111" s="1" t="str">
        <x:v>310M700US19820</x:v>
      </x:c>
      <x:c r="B111" s="1" t="str">
        <x:v>19820</x:v>
      </x:c>
      <x:c r="C111" s="1" t="str">
        <x:v>Detroit-Warren-Dearborn, MI Metro Area</x:v>
      </x:c>
      <x:c r="D111" s="5" t="n">
        <x:v>2024</x:v>
      </x:c>
      <x:c r="E111" s="1" t="str">
        <x:v>ok</x:v>
      </x:c>
      <x:c r="F111" s="15" t="n">
        <x:v>510249</x:v>
      </x:c>
      <x:c r="G111" s="15" t="n">
        <x:v>41171</x:v>
      </x:c>
      <x:c r="H111" s="15" t="n">
        <x:v>469078</x:v>
      </x:c>
      <x:c r="I111" s="15" t="n">
        <x:v>247279</x:v>
      </x:c>
      <x:c r="J111" s="15" t="n">
        <x:v>134097</x:v>
      </x:c>
      <x:c r="K111" s="15" t="n">
        <x:v>52.715966</x:v>
      </x:c>
      <x:c r="L111" s="15" t="n">
        <x:v>28.587356</x:v>
      </x:c>
      <x:c r="M111" s="15" t="n">
        <x:v>8.068806</x:v>
      </x:c>
      <x:c r="N111" s="15" t="n">
        <x:v>510249</x:v>
      </x:c>
      <x:c r="O111" s="15" t="n">
        <x:v>10031</x:v>
      </x:c>
      <x:c r="P111" s="15" t="n">
        <x:v>17178</x:v>
      </x:c>
      <x:c r="Q111" s="15" t="n">
        <x:v>2632</x:v>
      </x:c>
      <x:c r="R111" s="15" t="n">
        <x:v>38455</x:v>
      </x:c>
      <x:c r="S111" s="15" t="n">
        <x:v>4162</x:v>
      </x:c>
      <x:c r="T111" s="15" t="n">
        <x:v>59288</x:v>
      </x:c>
      <x:c r="U111" s="15" t="n">
        <x:v>4714</x:v>
      </x:c>
      <x:c r="V111" s="15" t="n">
        <x:v>56627</x:v>
      </x:c>
      <x:c r="W111" s="15" t="n">
        <x:v>4214</x:v>
      </x:c>
      <x:c r="X111" s="15" t="n">
        <x:v>50251</x:v>
      </x:c>
      <x:c r="Y111" s="15" t="n">
        <x:v>4790</x:v>
      </x:c>
      <x:c r="Z111" s="15" t="n">
        <x:v>41688</x:v>
      </x:c>
      <x:c r="AA111" s="15" t="n">
        <x:v>3879</x:v>
      </x:c>
      <x:c r="AB111" s="15" t="n">
        <x:v>32852</x:v>
      </x:c>
      <x:c r="AC111" s="15" t="n">
        <x:v>3653</x:v>
      </x:c>
      <x:c r="AD111" s="15" t="n">
        <x:v>38642</x:v>
      </x:c>
      <x:c r="AE111" s="15" t="n">
        <x:v>3723</x:v>
      </x:c>
      <x:c r="AF111" s="15" t="n">
        <x:v>134097</x:v>
      </x:c>
      <x:c r="AG111" s="15" t="n">
        <x:v>6641</x:v>
      </x:c>
      <x:c r="AH111" s="15" t="n">
        <x:v>41171</x:v>
      </x:c>
      <x:c r="AI111" s="15" t="n">
        <x:v>3790</x:v>
      </x:c>
    </x:row>
    <x:row r="112" ht="22" customHeight="1">
      <x:c r="A112" s="1" t="str">
        <x:v>310M700US20020</x:v>
      </x:c>
      <x:c r="B112" s="1" t="str">
        <x:v>20020</x:v>
      </x:c>
      <x:c r="C112" s="1" t="str">
        <x:v>Dothan, AL Metro Area</x:v>
      </x:c>
      <x:c r="D112" s="5" t="n">
        <x:v>2024</x:v>
      </x:c>
      <x:c r="E112" s="1" t="str">
        <x:v>ok</x:v>
      </x:c>
      <x:c r="F112" s="15" t="n">
        <x:v>20811</x:v>
      </x:c>
      <x:c r="G112" s="15" t="n">
        <x:v>2311</x:v>
      </x:c>
      <x:c r="H112" s="15" t="n">
        <x:v>18500</x:v>
      </x:c>
      <x:c r="I112" s="15" t="n">
        <x:v>8880</x:v>
      </x:c>
      <x:c r="J112" s="15" t="n">
        <x:v>4001</x:v>
      </x:c>
      <x:c r="K112" s="15" t="n">
        <x:v>48</x:v>
      </x:c>
      <x:c r="L112" s="15" t="n">
        <x:v>21.627027</x:v>
      </x:c>
      <x:c r="M112" s="15" t="n">
        <x:v>11.104704</x:v>
      </x:c>
      <x:c r="N112" s="15" t="n">
        <x:v>20811</x:v>
      </x:c>
      <x:c r="O112" s="15" t="n">
        <x:v>1437</x:v>
      </x:c>
      <x:c r="P112" s="15" t="n">
        <x:v>1261</x:v>
      </x:c>
      <x:c r="Q112" s="15" t="n">
        <x:v>512</x:v>
      </x:c>
      <x:c r="R112" s="15" t="n">
        <x:v>2071</x:v>
      </x:c>
      <x:c r="S112" s="15" t="n">
        <x:v>691</x:v>
      </x:c>
      <x:c r="T112" s="15" t="n">
        <x:v>1840</x:v>
      </x:c>
      <x:c r="U112" s="15" t="n">
        <x:v>493</x:v>
      </x:c>
      <x:c r="V112" s="15" t="n">
        <x:v>2132</x:v>
      </x:c>
      <x:c r="W112" s="15" t="n">
        <x:v>617</x:v>
      </x:c>
      <x:c r="X112" s="15" t="n">
        <x:v>2316</x:v>
      </x:c>
      <x:c r="Y112" s="15" t="n">
        <x:v>570</x:v>
      </x:c>
      <x:c r="Z112" s="15" t="n">
        <x:v>1917</x:v>
      </x:c>
      <x:c r="AA112" s="15" t="n">
        <x:v>504</x:v>
      </x:c>
      <x:c r="AB112" s="15" t="n">
        <x:v>1321</x:v>
      </x:c>
      <x:c r="AC112" s="15" t="n">
        <x:v>305</x:v>
      </x:c>
      <x:c r="AD112" s="15" t="n">
        <x:v>1641</x:v>
      </x:c>
      <x:c r="AE112" s="15" t="n">
        <x:v>466</x:v>
      </x:c>
      <x:c r="AF112" s="15" t="n">
        <x:v>4001</x:v>
      </x:c>
      <x:c r="AG112" s="15" t="n">
        <x:v>821</x:v>
      </x:c>
      <x:c r="AH112" s="15" t="n">
        <x:v>2311</x:v>
      </x:c>
      <x:c r="AI112" s="15" t="n">
        <x:v>751</x:v>
      </x:c>
    </x:row>
    <x:row r="113" ht="22" customHeight="1">
      <x:c r="A113" s="1" t="str">
        <x:v>310M700US20100</x:v>
      </x:c>
      <x:c r="B113" s="1" t="str">
        <x:v>20100</x:v>
      </x:c>
      <x:c r="C113" s="1" t="str">
        <x:v>Dover, DE Metro Area</x:v>
      </x:c>
      <x:c r="D113" s="5" t="n">
        <x:v>2024</x:v>
      </x:c>
      <x:c r="E113" s="1" t="str">
        <x:v>ok</x:v>
      </x:c>
      <x:c r="F113" s="15" t="n">
        <x:v>16968</x:v>
      </x:c>
      <x:c r="G113" s="15" t="n">
        <x:v>645</x:v>
      </x:c>
      <x:c r="H113" s="15" t="n">
        <x:v>16323</x:v>
      </x:c>
      <x:c r="I113" s="15" t="n">
        <x:v>8621</x:v>
      </x:c>
      <x:c r="J113" s="15" t="n">
        <x:v>3769</x:v>
      </x:c>
      <x:c r="K113" s="15" t="n">
        <x:v>52.815046</x:v>
      </x:c>
      <x:c r="L113" s="15" t="n">
        <x:v>23.090118</x:v>
      </x:c>
      <x:c r="M113" s="15" t="n">
        <x:v>3.801273</x:v>
      </x:c>
      <x:c r="N113" s="15" t="n">
        <x:v>16968</x:v>
      </x:c>
      <x:c r="O113" s="15" t="n">
        <x:v>2215</x:v>
      </x:c>
      <x:c r="P113" s="15" t="n">
        <x:v>140</x:v>
      </x:c>
      <x:c r="Q113" s="15" t="n">
        <x:v>177</x:v>
      </x:c>
      <x:c r="R113" s="15" t="n">
        <x:v>1905</x:v>
      </x:c>
      <x:c r="S113" s="15" t="n">
        <x:v>920</x:v>
      </x:c>
      <x:c r="T113" s="15" t="n">
        <x:v>1580</x:v>
      </x:c>
      <x:c r="U113" s="15" t="n">
        <x:v>849</x:v>
      </x:c>
      <x:c r="V113" s="15" t="n">
        <x:v>1482</x:v>
      </x:c>
      <x:c r="W113" s="15" t="n">
        <x:v>804</x:v>
      </x:c>
      <x:c r="X113" s="15" t="n">
        <x:v>2595</x:v>
      </x:c>
      <x:c r="Y113" s="15" t="n">
        <x:v>955</x:v>
      </x:c>
      <x:c r="Z113" s="15" t="n">
        <x:v>2099</x:v>
      </x:c>
      <x:c r="AA113" s="15" t="n">
        <x:v>1075</x:v>
      </x:c>
      <x:c r="AB113" s="15" t="n">
        <x:v>821</x:v>
      </x:c>
      <x:c r="AC113" s="15" t="n">
        <x:v>498</x:v>
      </x:c>
      <x:c r="AD113" s="15" t="n">
        <x:v>1932</x:v>
      </x:c>
      <x:c r="AE113" s="15" t="n">
        <x:v>989</x:v>
      </x:c>
      <x:c r="AF113" s="15" t="n">
        <x:v>3769</x:v>
      </x:c>
      <x:c r="AG113" s="15" t="n">
        <x:v>1333</x:v>
      </x:c>
      <x:c r="AH113" s="15" t="n">
        <x:v>645</x:v>
      </x:c>
      <x:c r="AI113" s="15" t="n">
        <x:v>359</x:v>
      </x:c>
    </x:row>
    <x:row r="114" ht="22" customHeight="1">
      <x:c r="A114" s="1" t="str">
        <x:v>310M700US20220</x:v>
      </x:c>
      <x:c r="B114" s="1" t="str">
        <x:v>20220</x:v>
      </x:c>
      <x:c r="C114" s="1" t="str">
        <x:v>Dubuque, IA Metro Area</x:v>
      </x:c>
      <x:c r="D114" s="5" t="n">
        <x:v>2024</x:v>
      </x:c>
      <x:c r="E114" s="1" t="str">
        <x:v>ok</x:v>
      </x:c>
      <x:c r="F114" s="15" t="n">
        <x:v>10392</x:v>
      </x:c>
      <x:c r="G114" s="15" t="n">
        <x:v>647</x:v>
      </x:c>
      <x:c r="H114" s="15" t="n">
        <x:v>9745</x:v>
      </x:c>
      <x:c r="I114" s="15" t="n">
        <x:v>4240</x:v>
      </x:c>
      <x:c r="J114" s="15" t="n">
        <x:v>3066</x:v>
      </x:c>
      <x:c r="K114" s="15" t="n">
        <x:v>43.509492</x:v>
      </x:c>
      <x:c r="L114" s="15" t="n">
        <x:v>31.462288</x:v>
      </x:c>
      <x:c r="M114" s="15" t="n">
        <x:v>6.225943</x:v>
      </x:c>
      <x:c r="N114" s="15" t="n">
        <x:v>10392</x:v>
      </x:c>
      <x:c r="O114" s="15" t="n">
        <x:v>1175</x:v>
      </x:c>
      <x:c r="P114" s="15" t="n">
        <x:v>67</x:v>
      </x:c>
      <x:c r="Q114" s="15" t="n">
        <x:v>75</x:v>
      </x:c>
      <x:c r="R114" s="15" t="n">
        <x:v>1746</x:v>
      </x:c>
      <x:c r="S114" s="15" t="n">
        <x:v>720</x:v>
      </x:c>
      <x:c r="T114" s="15" t="n">
        <x:v>1745</x:v>
      </x:c>
      <x:c r="U114" s="15" t="n">
        <x:v>627</x:v>
      </x:c>
      <x:c r="V114" s="15" t="n">
        <x:v>887</x:v>
      </x:c>
      <x:c r="W114" s="15" t="n">
        <x:v>451</x:v>
      </x:c>
      <x:c r="X114" s="15" t="n">
        <x:v>1060</x:v>
      </x:c>
      <x:c r="Y114" s="15" t="n">
        <x:v>453</x:v>
      </x:c>
      <x:c r="Z114" s="15" t="n">
        <x:v>365</x:v>
      </x:c>
      <x:c r="AA114" s="15" t="n">
        <x:v>182</x:v>
      </x:c>
      <x:c r="AB114" s="15" t="n">
        <x:v>441</x:v>
      </x:c>
      <x:c r="AC114" s="15" t="n">
        <x:v>271</x:v>
      </x:c>
      <x:c r="AD114" s="15" t="n">
        <x:v>368</x:v>
      </x:c>
      <x:c r="AE114" s="15" t="n">
        <x:v>252</x:v>
      </x:c>
      <x:c r="AF114" s="15" t="n">
        <x:v>3066</x:v>
      </x:c>
      <x:c r="AG114" s="15" t="n">
        <x:v>960</x:v>
      </x:c>
      <x:c r="AH114" s="15" t="n">
        <x:v>647</x:v>
      </x:c>
      <x:c r="AI114" s="15" t="n">
        <x:v>353</x:v>
      </x:c>
    </x:row>
    <x:row r="115" ht="22" customHeight="1">
      <x:c r="A115" s="1" t="str">
        <x:v>310M700US20260</x:v>
      </x:c>
      <x:c r="B115" s="1" t="str">
        <x:v>20260</x:v>
      </x:c>
      <x:c r="C115" s="1" t="str">
        <x:v>Duluth, MN-WI Metro Area</x:v>
      </x:c>
      <x:c r="D115" s="5" t="n">
        <x:v>2024</x:v>
      </x:c>
      <x:c r="E115" s="1" t="str">
        <x:v>ok</x:v>
      </x:c>
      <x:c r="F115" s="15" t="n">
        <x:v>36752</x:v>
      </x:c>
      <x:c r="G115" s="15" t="n">
        <x:v>3097</x:v>
      </x:c>
      <x:c r="H115" s="15" t="n">
        <x:v>33655</x:v>
      </x:c>
      <x:c r="I115" s="15" t="n">
        <x:v>16090</x:v>
      </x:c>
      <x:c r="J115" s="15" t="n">
        <x:v>8106</x:v>
      </x:c>
      <x:c r="K115" s="15" t="n">
        <x:v>47.808647</x:v>
      </x:c>
      <x:c r="L115" s="15" t="n">
        <x:v>24.085574</x:v>
      </x:c>
      <x:c r="M115" s="15" t="n">
        <x:v>8.426752</x:v>
      </x:c>
      <x:c r="N115" s="15" t="n">
        <x:v>36752</x:v>
      </x:c>
      <x:c r="O115" s="15" t="n">
        <x:v>2531</x:v>
      </x:c>
      <x:c r="P115" s="15" t="n">
        <x:v>1687</x:v>
      </x:c>
      <x:c r="Q115" s="15" t="n">
        <x:v>659</x:v>
      </x:c>
      <x:c r="R115" s="15" t="n">
        <x:v>3180</x:v>
      </x:c>
      <x:c r="S115" s="15" t="n">
        <x:v>1081</x:v>
      </x:c>
      <x:c r="T115" s="15" t="n">
        <x:v>4769</x:v>
      </x:c>
      <x:c r="U115" s="15" t="n">
        <x:v>1220</x:v>
      </x:c>
      <x:c r="V115" s="15" t="n">
        <x:v>4096</x:v>
      </x:c>
      <x:c r="W115" s="15" t="n">
        <x:v>1140</x:v>
      </x:c>
      <x:c r="X115" s="15" t="n">
        <x:v>3833</x:v>
      </x:c>
      <x:c r="Y115" s="15" t="n">
        <x:v>1006</x:v>
      </x:c>
      <x:c r="Z115" s="15" t="n">
        <x:v>4066</x:v>
      </x:c>
      <x:c r="AA115" s="15" t="n">
        <x:v>1011</x:v>
      </x:c>
      <x:c r="AB115" s="15" t="n">
        <x:v>1952</x:v>
      </x:c>
      <x:c r="AC115" s="15" t="n">
        <x:v>655</x:v>
      </x:c>
      <x:c r="AD115" s="15" t="n">
        <x:v>1966</x:v>
      </x:c>
      <x:c r="AE115" s="15" t="n">
        <x:v>664</x:v>
      </x:c>
      <x:c r="AF115" s="15" t="n">
        <x:v>8106</x:v>
      </x:c>
      <x:c r="AG115" s="15" t="n">
        <x:v>1341</x:v>
      </x:c>
      <x:c r="AH115" s="15" t="n">
        <x:v>3097</x:v>
      </x:c>
      <x:c r="AI115" s="15" t="n">
        <x:v>792</x:v>
      </x:c>
    </x:row>
    <x:row r="116" ht="22" customHeight="1">
      <x:c r="A116" s="1" t="str">
        <x:v>310M700US20500</x:v>
      </x:c>
      <x:c r="B116" s="1" t="str">
        <x:v>20500</x:v>
      </x:c>
      <x:c r="C116" s="1" t="str">
        <x:v>Durham-Chapel Hill, NC Metro Area</x:v>
      </x:c>
      <x:c r="D116" s="5" t="n">
        <x:v>2024</x:v>
      </x:c>
      <x:c r="E116" s="1" t="str">
        <x:v>ok</x:v>
      </x:c>
      <x:c r="F116" s="15" t="n">
        <x:v>100115</x:v>
      </x:c>
      <x:c r="G116" s="15" t="n">
        <x:v>3405</x:v>
      </x:c>
      <x:c r="H116" s="15" t="n">
        <x:v>96710</x:v>
      </x:c>
      <x:c r="I116" s="15" t="n">
        <x:v>55187</x:v>
      </x:c>
      <x:c r="J116" s="15" t="n">
        <x:v>26846</x:v>
      </x:c>
      <x:c r="K116" s="15" t="n">
        <x:v>57.064419</x:v>
      </x:c>
      <x:c r="L116" s="15" t="n">
        <x:v>27.75928</x:v>
      </x:c>
      <x:c r="M116" s="15" t="n">
        <x:v>3.401089</x:v>
      </x:c>
      <x:c r="N116" s="15" t="n">
        <x:v>100115</x:v>
      </x:c>
      <x:c r="O116" s="15" t="n">
        <x:v>4705</x:v>
      </x:c>
      <x:c r="P116" s="15" t="n">
        <x:v>2300</x:v>
      </x:c>
      <x:c r="Q116" s="15" t="n">
        <x:v>802</x:v>
      </x:c>
      <x:c r="R116" s="15" t="n">
        <x:v>6404</x:v>
      </x:c>
      <x:c r="S116" s="15" t="n">
        <x:v>1445</x:v>
      </x:c>
      <x:c r="T116" s="15" t="n">
        <x:v>9866</x:v>
      </x:c>
      <x:c r="U116" s="15" t="n">
        <x:v>1993</x:v>
      </x:c>
      <x:c r="V116" s="15" t="n">
        <x:v>9501</x:v>
      </x:c>
      <x:c r="W116" s="15" t="n">
        <x:v>2022</x:v>
      </x:c>
      <x:c r="X116" s="15" t="n">
        <x:v>13452</x:v>
      </x:c>
      <x:c r="Y116" s="15" t="n">
        <x:v>2292</x:v>
      </x:c>
      <x:c r="Z116" s="15" t="n">
        <x:v>9419</x:v>
      </x:c>
      <x:c r="AA116" s="15" t="n">
        <x:v>2303</x:v>
      </x:c>
      <x:c r="AB116" s="15" t="n">
        <x:v>9447</x:v>
      </x:c>
      <x:c r="AC116" s="15" t="n">
        <x:v>2224</x:v>
      </x:c>
      <x:c r="AD116" s="15" t="n">
        <x:v>9475</x:v>
      </x:c>
      <x:c r="AE116" s="15" t="n">
        <x:v>2032</x:v>
      </x:c>
      <x:c r="AF116" s="15" t="n">
        <x:v>26846</x:v>
      </x:c>
      <x:c r="AG116" s="15" t="n">
        <x:v>3664</x:v>
      </x:c>
      <x:c r="AH116" s="15" t="n">
        <x:v>3405</x:v>
      </x:c>
      <x:c r="AI116" s="15" t="n">
        <x:v>944</x:v>
      </x:c>
    </x:row>
    <x:row r="117" ht="22" customHeight="1">
      <x:c r="A117" s="1" t="str">
        <x:v>310M700US20740</x:v>
      </x:c>
      <x:c r="B117" s="1" t="str">
        <x:v>20740</x:v>
      </x:c>
      <x:c r="C117" s="1" t="str">
        <x:v>Eau Claire, WI Metro Area</x:v>
      </x:c>
      <x:c r="D117" s="5" t="n">
        <x:v>2024</x:v>
      </x:c>
      <x:c r="E117" s="1" t="str">
        <x:v>ok</x:v>
      </x:c>
      <x:c r="F117" s="15" t="n">
        <x:v>27736</x:v>
      </x:c>
      <x:c r="G117" s="15" t="n">
        <x:v>825</x:v>
      </x:c>
      <x:c r="H117" s="15" t="n">
        <x:v>26911</x:v>
      </x:c>
      <x:c r="I117" s="15" t="n">
        <x:v>12649</x:v>
      </x:c>
      <x:c r="J117" s="15" t="n">
        <x:v>6734</x:v>
      </x:c>
      <x:c r="K117" s="15" t="n">
        <x:v>47.003084</x:v>
      </x:c>
      <x:c r="L117" s="15" t="n">
        <x:v>25.023225</x:v>
      </x:c>
      <x:c r="M117" s="15" t="n">
        <x:v>2.974474</x:v>
      </x:c>
      <x:c r="N117" s="15" t="n">
        <x:v>27736</x:v>
      </x:c>
      <x:c r="O117" s="15" t="n">
        <x:v>2129</x:v>
      </x:c>
      <x:c r="P117" s="15" t="n">
        <x:v>784</x:v>
      </x:c>
      <x:c r="Q117" s="15" t="n">
        <x:v>417</x:v>
      </x:c>
      <x:c r="R117" s="15" t="n">
        <x:v>3722</x:v>
      </x:c>
      <x:c r="S117" s="15" t="n">
        <x:v>1312</x:v>
      </x:c>
      <x:c r="T117" s="15" t="n">
        <x:v>3546</x:v>
      </x:c>
      <x:c r="U117" s="15" t="n">
        <x:v>1007</x:v>
      </x:c>
      <x:c r="V117" s="15" t="n">
        <x:v>3127</x:v>
      </x:c>
      <x:c r="W117" s="15" t="n">
        <x:v>966</x:v>
      </x:c>
      <x:c r="X117" s="15" t="n">
        <x:v>3083</x:v>
      </x:c>
      <x:c r="Y117" s="15" t="n">
        <x:v>1009</x:v>
      </x:c>
      <x:c r="Z117" s="15" t="n">
        <x:v>3456</x:v>
      </x:c>
      <x:c r="AA117" s="15" t="n">
        <x:v>1167</x:v>
      </x:c>
      <x:c r="AB117" s="15" t="n">
        <x:v>1421</x:v>
      </x:c>
      <x:c r="AC117" s="15" t="n">
        <x:v>625</x:v>
      </x:c>
      <x:c r="AD117" s="15" t="n">
        <x:v>1038</x:v>
      </x:c>
      <x:c r="AE117" s="15" t="n">
        <x:v>533</x:v>
      </x:c>
      <x:c r="AF117" s="15" t="n">
        <x:v>6734</x:v>
      </x:c>
      <x:c r="AG117" s="15" t="n">
        <x:v>1871</x:v>
      </x:c>
      <x:c r="AH117" s="15" t="n">
        <x:v>825</x:v>
      </x:c>
      <x:c r="AI117" s="15" t="n">
        <x:v>454</x:v>
      </x:c>
    </x:row>
    <x:row r="118" ht="22" customHeight="1">
      <x:c r="A118" s="1" t="str">
        <x:v>310M700US20940</x:v>
      </x:c>
      <x:c r="B118" s="1" t="str">
        <x:v>20940</x:v>
      </x:c>
      <x:c r="C118" s="1" t="str">
        <x:v>El Centro, CA Metro Area</x:v>
      </x:c>
      <x:c r="D118" s="5" t="n">
        <x:v>2024</x:v>
      </x:c>
      <x:c r="E118" s="1" t="str">
        <x:v>ok</x:v>
      </x:c>
      <x:c r="F118" s="15" t="n">
        <x:v>20406</x:v>
      </x:c>
      <x:c r="G118" s="15" t="n">
        <x:v>1344</x:v>
      </x:c>
      <x:c r="H118" s="15" t="n">
        <x:v>19062</x:v>
      </x:c>
      <x:c r="I118" s="15" t="n">
        <x:v>10026</x:v>
      </x:c>
      <x:c r="J118" s="15" t="n">
        <x:v>5680</x:v>
      </x:c>
      <x:c r="K118" s="15" t="n">
        <x:v>52.596789</x:v>
      </x:c>
      <x:c r="L118" s="15" t="n">
        <x:v>29.797503</x:v>
      </x:c>
      <x:c r="M118" s="15" t="n">
        <x:v>6.586298</x:v>
      </x:c>
      <x:c r="N118" s="15" t="n">
        <x:v>20406</x:v>
      </x:c>
      <x:c r="O118" s="15" t="n">
        <x:v>2117</x:v>
      </x:c>
      <x:c r="P118" s="15" t="n">
        <x:v>358</x:v>
      </x:c>
      <x:c r="Q118" s="15" t="n">
        <x:v>266</x:v>
      </x:c>
      <x:c r="R118" s="15" t="n">
        <x:v>1414</x:v>
      </x:c>
      <x:c r="S118" s="15" t="n">
        <x:v>677</x:v>
      </x:c>
      <x:c r="T118" s="15" t="n">
        <x:v>1690</x:v>
      </x:c>
      <x:c r="U118" s="15" t="n">
        <x:v>691</x:v>
      </x:c>
      <x:c r="V118" s="15" t="n">
        <x:v>2253</x:v>
      </x:c>
      <x:c r="W118" s="15" t="n">
        <x:v>868</x:v>
      </x:c>
      <x:c r="X118" s="15" t="n">
        <x:v>3321</x:v>
      </x:c>
      <x:c r="Y118" s="15" t="n">
        <x:v>1291</x:v>
      </x:c>
      <x:c r="Z118" s="15" t="n">
        <x:v>1711</x:v>
      </x:c>
      <x:c r="AA118" s="15" t="n">
        <x:v>769</x:v>
      </x:c>
      <x:c r="AB118" s="15" t="n">
        <x:v>1806</x:v>
      </x:c>
      <x:c r="AC118" s="15" t="n">
        <x:v>821</x:v>
      </x:c>
      <x:c r="AD118" s="15" t="n">
        <x:v>829</x:v>
      </x:c>
      <x:c r="AE118" s="15" t="n">
        <x:v>519</x:v>
      </x:c>
      <x:c r="AF118" s="15" t="n">
        <x:v>5680</x:v>
      </x:c>
      <x:c r="AG118" s="15" t="n">
        <x:v>1529</x:v>
      </x:c>
      <x:c r="AH118" s="15" t="n">
        <x:v>1344</x:v>
      </x:c>
      <x:c r="AI118" s="15" t="n">
        <x:v>708</x:v>
      </x:c>
    </x:row>
    <x:row r="119" ht="22" customHeight="1">
      <x:c r="A119" s="1" t="str">
        <x:v>310M700US21340</x:v>
      </x:c>
      <x:c r="B119" s="1" t="str">
        <x:v>21340</x:v>
      </x:c>
      <x:c r="C119" s="1" t="str">
        <x:v>El Paso, TX Metro Area</x:v>
      </x:c>
      <x:c r="D119" s="5" t="n">
        <x:v>2024</x:v>
      </x:c>
      <x:c r="E119" s="1" t="str">
        <x:v>ok</x:v>
      </x:c>
      <x:c r="F119" s="15" t="n">
        <x:v>107944</x:v>
      </x:c>
      <x:c r="G119" s="15" t="n">
        <x:v>5637</x:v>
      </x:c>
      <x:c r="H119" s="15" t="n">
        <x:v>102307</x:v>
      </x:c>
      <x:c r="I119" s="15" t="n">
        <x:v>58011</x:v>
      </x:c>
      <x:c r="J119" s="15" t="n">
        <x:v>27816</x:v>
      </x:c>
      <x:c r="K119" s="15" t="n">
        <x:v>56.702865</x:v>
      </x:c>
      <x:c r="L119" s="15" t="n">
        <x:v>27.188755</x:v>
      </x:c>
      <x:c r="M119" s="15" t="n">
        <x:v>5.222152</x:v>
      </x:c>
      <x:c r="N119" s="15" t="n">
        <x:v>107944</x:v>
      </x:c>
      <x:c r="O119" s="15" t="n">
        <x:v>5415</x:v>
      </x:c>
      <x:c r="P119" s="15" t="n">
        <x:v>3376</x:v>
      </x:c>
      <x:c r="Q119" s="15" t="n">
        <x:v>1134</x:v>
      </x:c>
      <x:c r="R119" s="15" t="n">
        <x:v>7020</x:v>
      </x:c>
      <x:c r="S119" s="15" t="n">
        <x:v>1656</x:v>
      </x:c>
      <x:c r="T119" s="15" t="n">
        <x:v>12531</x:v>
      </x:c>
      <x:c r="U119" s="15" t="n">
        <x:v>2449</x:v>
      </x:c>
      <x:c r="V119" s="15" t="n">
        <x:v>11286</x:v>
      </x:c>
      <x:c r="W119" s="15" t="n">
        <x:v>2376</x:v>
      </x:c>
      <x:c r="X119" s="15" t="n">
        <x:v>10083</x:v>
      </x:c>
      <x:c r="Y119" s="15" t="n">
        <x:v>1788</x:v>
      </x:c>
      <x:c r="Z119" s="15" t="n">
        <x:v>9967</x:v>
      </x:c>
      <x:c r="AA119" s="15" t="n">
        <x:v>2261</x:v>
      </x:c>
      <x:c r="AB119" s="15" t="n">
        <x:v>9432</x:v>
      </x:c>
      <x:c r="AC119" s="15" t="n">
        <x:v>1945</x:v>
      </x:c>
      <x:c r="AD119" s="15" t="n">
        <x:v>10796</x:v>
      </x:c>
      <x:c r="AE119" s="15" t="n">
        <x:v>2384</x:v>
      </x:c>
      <x:c r="AF119" s="15" t="n">
        <x:v>27816</x:v>
      </x:c>
      <x:c r="AG119" s="15" t="n">
        <x:v>3411</x:v>
      </x:c>
      <x:c r="AH119" s="15" t="n">
        <x:v>5637</x:v>
      </x:c>
      <x:c r="AI119" s="15" t="n">
        <x:v>1539</x:v>
      </x:c>
    </x:row>
    <x:row r="120" ht="22" customHeight="1">
      <x:c r="A120" s="1" t="str">
        <x:v>310M700US21060</x:v>
      </x:c>
      <x:c r="B120" s="1" t="str">
        <x:v>21060</x:v>
      </x:c>
      <x:c r="C120" s="1" t="str">
        <x:v>Elizabethtown, KY Metro Area</x:v>
      </x:c>
      <x:c r="D120" s="5" t="n">
        <x:v>2024</x:v>
      </x:c>
      <x:c r="E120" s="1" t="str">
        <x:v>ok</x:v>
      </x:c>
      <x:c r="F120" s="15" t="n">
        <x:v>18078</x:v>
      </x:c>
      <x:c r="G120" s="15" t="n">
        <x:v>361</x:v>
      </x:c>
      <x:c r="H120" s="15" t="n">
        <x:v>17717</x:v>
      </x:c>
      <x:c r="I120" s="15" t="n">
        <x:v>5404</x:v>
      </x:c>
      <x:c r="J120" s="15" t="n">
        <x:v>1910</x:v>
      </x:c>
      <x:c r="K120" s="15" t="n">
        <x:v>30.501778</x:v>
      </x:c>
      <x:c r="L120" s="15" t="n">
        <x:v>10.780606</x:v>
      </x:c>
      <x:c r="M120" s="15" t="n">
        <x:v>1.996902</x:v>
      </x:c>
      <x:c r="N120" s="15" t="n">
        <x:v>18078</x:v>
      </x:c>
      <x:c r="O120" s="15" t="n">
        <x:v>1974</x:v>
      </x:c>
      <x:c r="P120" s="15" t="n">
        <x:v>236</x:v>
      </x:c>
      <x:c r="Q120" s="15" t="n">
        <x:v>279</x:v>
      </x:c>
      <x:c r="R120" s="15" t="n">
        <x:v>2837</x:v>
      </x:c>
      <x:c r="S120" s="15" t="n">
        <x:v>1121</x:v>
      </x:c>
      <x:c r="T120" s="15" t="n">
        <x:v>5134</x:v>
      </x:c>
      <x:c r="U120" s="15" t="n">
        <x:v>1778</x:v>
      </x:c>
      <x:c r="V120" s="15" t="n">
        <x:v>2140</x:v>
      </x:c>
      <x:c r="W120" s="15" t="n">
        <x:v>929</x:v>
      </x:c>
      <x:c r="X120" s="15" t="n">
        <x:v>1966</x:v>
      </x:c>
      <x:c r="Y120" s="15" t="n">
        <x:v>814</x:v>
      </x:c>
      <x:c r="Z120" s="15" t="n">
        <x:v>1331</x:v>
      </x:c>
      <x:c r="AA120" s="15" t="n">
        <x:v>660</x:v>
      </x:c>
      <x:c r="AB120" s="15" t="n">
        <x:v>754</x:v>
      </x:c>
      <x:c r="AC120" s="15" t="n">
        <x:v>570</x:v>
      </x:c>
      <x:c r="AD120" s="15" t="n">
        <x:v>1409</x:v>
      </x:c>
      <x:c r="AE120" s="15" t="n">
        <x:v>849</x:v>
      </x:c>
      <x:c r="AF120" s="15" t="n">
        <x:v>1910</x:v>
      </x:c>
      <x:c r="AG120" s="15" t="n">
        <x:v>756</x:v>
      </x:c>
      <x:c r="AH120" s="15" t="n">
        <x:v>361</x:v>
      </x:c>
      <x:c r="AI120" s="15" t="n">
        <x:v>260</x:v>
      </x:c>
    </x:row>
    <x:row r="121" ht="22" customHeight="1">
      <x:c r="A121" s="1" t="str">
        <x:v>310M700US21140</x:v>
      </x:c>
      <x:c r="B121" s="1" t="str">
        <x:v>21140</x:v>
      </x:c>
      <x:c r="C121" s="1" t="str">
        <x:v>Elkhart-Goshen, IN Metro Area</x:v>
      </x:c>
      <x:c r="D121" s="5" t="n">
        <x:v>2024</x:v>
      </x:c>
      <x:c r="E121" s="1" t="str">
        <x:v>ok</x:v>
      </x:c>
      <x:c r="F121" s="15" t="n">
        <x:v>21008</x:v>
      </x:c>
      <x:c r="G121" s="15" t="n">
        <x:v>1984</x:v>
      </x:c>
      <x:c r="H121" s="15" t="n">
        <x:v>19024</x:v>
      </x:c>
      <x:c r="I121" s="15" t="n">
        <x:v>7363</x:v>
      </x:c>
      <x:c r="J121" s="15" t="n">
        <x:v>3705</x:v>
      </x:c>
      <x:c r="K121" s="15" t="n">
        <x:v>38.703743</x:v>
      </x:c>
      <x:c r="L121" s="15" t="n">
        <x:v>19.475399</x:v>
      </x:c>
      <x:c r="M121" s="15" t="n">
        <x:v>9.444021</x:v>
      </x:c>
      <x:c r="N121" s="15" t="n">
        <x:v>21008</x:v>
      </x:c>
      <x:c r="O121" s="15" t="n">
        <x:v>2260</x:v>
      </x:c>
      <x:c r="P121" s="15" t="n">
        <x:v>881</x:v>
      </x:c>
      <x:c r="Q121" s="15" t="n">
        <x:v>714</x:v>
      </x:c>
      <x:c r="R121" s="15" t="n">
        <x:v>1979</x:v>
      </x:c>
      <x:c r="S121" s="15" t="n">
        <x:v>958</x:v>
      </x:c>
      <x:c r="T121" s="15" t="n">
        <x:v>2888</x:v>
      </x:c>
      <x:c r="U121" s="15" t="n">
        <x:v>1039</x:v>
      </x:c>
      <x:c r="V121" s="15" t="n">
        <x:v>2963</x:v>
      </x:c>
      <x:c r="W121" s="15" t="n">
        <x:v>1128</x:v>
      </x:c>
      <x:c r="X121" s="15" t="n">
        <x:v>2950</x:v>
      </x:c>
      <x:c r="Y121" s="15" t="n">
        <x:v>1118</x:v>
      </x:c>
      <x:c r="Z121" s="15" t="n">
        <x:v>1180</x:v>
      </x:c>
      <x:c r="AA121" s="15" t="n">
        <x:v>682</x:v>
      </x:c>
      <x:c r="AB121" s="15" t="n">
        <x:v>729</x:v>
      </x:c>
      <x:c r="AC121" s="15" t="n">
        <x:v>406</x:v>
      </x:c>
      <x:c r="AD121" s="15" t="n">
        <x:v>1749</x:v>
      </x:c>
      <x:c r="AE121" s="15" t="n">
        <x:v>889</x:v>
      </x:c>
      <x:c r="AF121" s="15" t="n">
        <x:v>3705</x:v>
      </x:c>
      <x:c r="AG121" s="15" t="n">
        <x:v>1028</x:v>
      </x:c>
      <x:c r="AH121" s="15" t="n">
        <x:v>1984</x:v>
      </x:c>
      <x:c r="AI121" s="15" t="n">
        <x:v>896</x:v>
      </x:c>
    </x:row>
    <x:row r="122" ht="22" customHeight="1">
      <x:c r="A122" s="1" t="str">
        <x:v>310M700US21300</x:v>
      </x:c>
      <x:c r="B122" s="1" t="str">
        <x:v>21300</x:v>
      </x:c>
      <x:c r="C122" s="1" t="str">
        <x:v>Elmira, NY Metro Area</x:v>
      </x:c>
      <x:c r="D122" s="5" t="n">
        <x:v>2024</x:v>
      </x:c>
      <x:c r="E122" s="1" t="str">
        <x:v>ok</x:v>
      </x:c>
      <x:c r="F122" s="15" t="n">
        <x:v>11793</x:v>
      </x:c>
      <x:c r="G122" s="15" t="n">
        <x:v>1325</x:v>
      </x:c>
      <x:c r="H122" s="15" t="n">
        <x:v>10468</x:v>
      </x:c>
      <x:c r="I122" s="15" t="n">
        <x:v>4909</x:v>
      </x:c>
      <x:c r="J122" s="15" t="n">
        <x:v>2908</x:v>
      </x:c>
      <x:c r="K122" s="15" t="n">
        <x:v>46.8953</x:v>
      </x:c>
      <x:c r="L122" s="15" t="n">
        <x:v>27.779901</x:v>
      </x:c>
      <x:c r="M122" s="15" t="n">
        <x:v>11.235479</x:v>
      </x:c>
      <x:c r="N122" s="15" t="n">
        <x:v>11793</x:v>
      </x:c>
      <x:c r="O122" s="15" t="n">
        <x:v>1289</x:v>
      </x:c>
      <x:c r="P122" s="15" t="n">
        <x:v>141</x:v>
      </x:c>
      <x:c r="Q122" s="15" t="n">
        <x:v>164</x:v>
      </x:c>
      <x:c r="R122" s="15" t="n">
        <x:v>1148</x:v>
      </x:c>
      <x:c r="S122" s="15" t="n">
        <x:v>552</x:v>
      </x:c>
      <x:c r="T122" s="15" t="n">
        <x:v>1287</x:v>
      </x:c>
      <x:c r="U122" s="15" t="n">
        <x:v>603</x:v>
      </x:c>
      <x:c r="V122" s="15" t="n">
        <x:v>1353</x:v>
      </x:c>
      <x:c r="W122" s="15" t="n">
        <x:v>572</x:v>
      </x:c>
      <x:c r="X122" s="15" t="n">
        <x:v>1630</x:v>
      </x:c>
      <x:c r="Y122" s="15" t="n">
        <x:v>753</x:v>
      </x:c>
      <x:c r="Z122" s="15" t="n">
        <x:v>423</x:v>
      </x:c>
      <x:c r="AA122" s="15" t="n">
        <x:v>280</x:v>
      </x:c>
      <x:c r="AB122" s="15" t="n">
        <x:v>566</x:v>
      </x:c>
      <x:c r="AC122" s="15" t="n">
        <x:v>340</x:v>
      </x:c>
      <x:c r="AD122" s="15" t="n">
        <x:v>1012</x:v>
      </x:c>
      <x:c r="AE122" s="15" t="n">
        <x:v>448</x:v>
      </x:c>
      <x:c r="AF122" s="15" t="n">
        <x:v>2908</x:v>
      </x:c>
      <x:c r="AG122" s="15" t="n">
        <x:v>891</x:v>
      </x:c>
      <x:c r="AH122" s="15" t="n">
        <x:v>1325</x:v>
      </x:c>
      <x:c r="AI122" s="15" t="n">
        <x:v>637</x:v>
      </x:c>
    </x:row>
    <x:row r="123" ht="22" customHeight="1">
      <x:c r="A123" s="1" t="str">
        <x:v>310M700US21420</x:v>
      </x:c>
      <x:c r="B123" s="1" t="str">
        <x:v>21420</x:v>
      </x:c>
      <x:c r="C123" s="1" t="str">
        <x:v>Enid, OK Metro Area</x:v>
      </x:c>
      <x:c r="D123" s="5" t="n">
        <x:v>2024</x:v>
      </x:c>
      <x:c r="E123" s="1" t="str">
        <x:v>ok</x:v>
      </x:c>
      <x:c r="F123" s="15" t="n">
        <x:v>6544</x:v>
      </x:c>
      <x:c r="G123" s="15" t="n">
        <x:v>645</x:v>
      </x:c>
      <x:c r="H123" s="15" t="n">
        <x:v>5899</x:v>
      </x:c>
      <x:c r="I123" s="15" t="n">
        <x:v>2291</x:v>
      </x:c>
      <x:c r="J123" s="15" t="n">
        <x:v>1108</x:v>
      </x:c>
      <x:c r="K123" s="15" t="n">
        <x:v>38.837091</x:v>
      </x:c>
      <x:c r="L123" s="15" t="n">
        <x:v>18.782845</x:v>
      </x:c>
      <x:c r="M123" s="15" t="n">
        <x:v>9.856357</x:v>
      </x:c>
      <x:c r="N123" s="15" t="n">
        <x:v>6544</x:v>
      </x:c>
      <x:c r="O123" s="15" t="n">
        <x:v>1119</x:v>
      </x:c>
      <x:c r="P123" s="15" t="n">
        <x:v>153</x:v>
      </x:c>
      <x:c r="Q123" s="15" t="n">
        <x:v>143</x:v>
      </x:c>
      <x:c r="R123" s="15" t="n">
        <x:v>802</x:v>
      </x:c>
      <x:c r="S123" s="15" t="n">
        <x:v>461</x:v>
      </x:c>
      <x:c r="T123" s="15" t="n">
        <x:v>1410</x:v>
      </x:c>
      <x:c r="U123" s="15" t="n">
        <x:v>599</x:v>
      </x:c>
      <x:c r="V123" s="15" t="n">
        <x:v>522</x:v>
      </x:c>
      <x:c r="W123" s="15" t="n">
        <x:v>269</x:v>
      </x:c>
      <x:c r="X123" s="15" t="n">
        <x:v>721</x:v>
      </x:c>
      <x:c r="Y123" s="15" t="n">
        <x:v>426</x:v>
      </x:c>
      <x:c r="Z123" s="15" t="n">
        <x:v>511</x:v>
      </x:c>
      <x:c r="AA123" s="15" t="n">
        <x:v>284</x:v>
      </x:c>
      <x:c r="AB123" s="15" t="n">
        <x:v>363</x:v>
      </x:c>
      <x:c r="AC123" s="15" t="n">
        <x:v>299</x:v>
      </x:c>
      <x:c r="AD123" s="15" t="n">
        <x:v>309</x:v>
      </x:c>
      <x:c r="AE123" s="15" t="n">
        <x:v>220</x:v>
      </x:c>
      <x:c r="AF123" s="15" t="n">
        <x:v>1108</x:v>
      </x:c>
      <x:c r="AG123" s="15" t="n">
        <x:v>624</x:v>
      </x:c>
      <x:c r="AH123" s="15" t="n">
        <x:v>645</x:v>
      </x:c>
      <x:c r="AI123" s="15" t="n">
        <x:v>380</x:v>
      </x:c>
    </x:row>
    <x:row r="124" ht="22" customHeight="1">
      <x:c r="A124" s="1" t="str">
        <x:v>310M700US21500</x:v>
      </x:c>
      <x:c r="B124" s="1" t="str">
        <x:v>21500</x:v>
      </x:c>
      <x:c r="C124" s="1" t="str">
        <x:v>Erie, PA Metro Area</x:v>
      </x:c>
      <x:c r="D124" s="5" t="n">
        <x:v>2024</x:v>
      </x:c>
      <x:c r="E124" s="1" t="str">
        <x:v>ok</x:v>
      </x:c>
      <x:c r="F124" s="15" t="n">
        <x:v>38504</x:v>
      </x:c>
      <x:c r="G124" s="15" t="n">
        <x:v>2799</x:v>
      </x:c>
      <x:c r="H124" s="15" t="n">
        <x:v>35705</x:v>
      </x:c>
      <x:c r="I124" s="15" t="n">
        <x:v>17219</x:v>
      </x:c>
      <x:c r="J124" s="15" t="n">
        <x:v>8781</x:v>
      </x:c>
      <x:c r="K124" s="15" t="n">
        <x:v>48.225739</x:v>
      </x:c>
      <x:c r="L124" s="15" t="n">
        <x:v>24.593194</x:v>
      </x:c>
      <x:c r="M124" s="15" t="n">
        <x:v>7.269375</x:v>
      </x:c>
      <x:c r="N124" s="15" t="n">
        <x:v>38504</x:v>
      </x:c>
      <x:c r="O124" s="15" t="n">
        <x:v>2607</x:v>
      </x:c>
      <x:c r="P124" s="15" t="n">
        <x:v>2197</x:v>
      </x:c>
      <x:c r="Q124" s="15" t="n">
        <x:v>802</x:v>
      </x:c>
      <x:c r="R124" s="15" t="n">
        <x:v>3747</x:v>
      </x:c>
      <x:c r="S124" s="15" t="n">
        <x:v>1049</x:v>
      </x:c>
      <x:c r="T124" s="15" t="n">
        <x:v>4613</x:v>
      </x:c>
      <x:c r="U124" s="15" t="n">
        <x:v>1368</x:v>
      </x:c>
      <x:c r="V124" s="15" t="n">
        <x:v>3720</x:v>
      </x:c>
      <x:c r="W124" s="15" t="n">
        <x:v>1064</x:v>
      </x:c>
      <x:c r="X124" s="15" t="n">
        <x:v>4209</x:v>
      </x:c>
      <x:c r="Y124" s="15" t="n">
        <x:v>1189</x:v>
      </x:c>
      <x:c r="Z124" s="15" t="n">
        <x:v>2524</x:v>
      </x:c>
      <x:c r="AA124" s="15" t="n">
        <x:v>849</x:v>
      </x:c>
      <x:c r="AB124" s="15" t="n">
        <x:v>2509</x:v>
      </x:c>
      <x:c r="AC124" s="15" t="n">
        <x:v>1161</x:v>
      </x:c>
      <x:c r="AD124" s="15" t="n">
        <x:v>3405</x:v>
      </x:c>
      <x:c r="AE124" s="15" t="n">
        <x:v>837</x:v>
      </x:c>
      <x:c r="AF124" s="15" t="n">
        <x:v>8781</x:v>
      </x:c>
      <x:c r="AG124" s="15" t="n">
        <x:v>1842</x:v>
      </x:c>
      <x:c r="AH124" s="15" t="n">
        <x:v>2799</x:v>
      </x:c>
      <x:c r="AI124" s="15" t="n">
        <x:v>799</x:v>
      </x:c>
    </x:row>
    <x:row r="125" ht="22" customHeight="1">
      <x:c r="A125" s="1" t="str">
        <x:v>310M700US21660</x:v>
      </x:c>
      <x:c r="B125" s="1" t="str">
        <x:v>21660</x:v>
      </x:c>
      <x:c r="C125" s="1" t="str">
        <x:v>Eugene-Springfield, OR Metro Area</x:v>
      </x:c>
      <x:c r="D125" s="5" t="n">
        <x:v>2024</x:v>
      </x:c>
      <x:c r="E125" s="1" t="str">
        <x:v>ok</x:v>
      </x:c>
      <x:c r="F125" s="15" t="n">
        <x:v>64504</x:v>
      </x:c>
      <x:c r="G125" s="15" t="n">
        <x:v>4878</x:v>
      </x:c>
      <x:c r="H125" s="15" t="n">
        <x:v>59626</x:v>
      </x:c>
      <x:c r="I125" s="15" t="n">
        <x:v>32589</x:v>
      </x:c>
      <x:c r="J125" s="15" t="n">
        <x:v>17882</x:v>
      </x:c>
      <x:c r="K125" s="15" t="n">
        <x:v>54.655687</x:v>
      </x:c>
      <x:c r="L125" s="15" t="n">
        <x:v>29.990273</x:v>
      </x:c>
      <x:c r="M125" s="15" t="n">
        <x:v>7.562322</x:v>
      </x:c>
      <x:c r="N125" s="15" t="n">
        <x:v>64504</x:v>
      </x:c>
      <x:c r="O125" s="15" t="n">
        <x:v>3239</x:v>
      </x:c>
      <x:c r="P125" s="15" t="n">
        <x:v>1217</x:v>
      </x:c>
      <x:c r="Q125" s="15" t="n">
        <x:v>626</x:v>
      </x:c>
      <x:c r="R125" s="15" t="n">
        <x:v>4703</x:v>
      </x:c>
      <x:c r="S125" s="15" t="n">
        <x:v>1289</x:v>
      </x:c>
      <x:c r="T125" s="15" t="n">
        <x:v>6702</x:v>
      </x:c>
      <x:c r="U125" s="15" t="n">
        <x:v>1833</x:v>
      </x:c>
      <x:c r="V125" s="15" t="n">
        <x:v>8594</x:v>
      </x:c>
      <x:c r="W125" s="15" t="n">
        <x:v>1808</x:v>
      </x:c>
      <x:c r="X125" s="15" t="n">
        <x:v>5821</x:v>
      </x:c>
      <x:c r="Y125" s="15" t="n">
        <x:v>1392</x:v>
      </x:c>
      <x:c r="Z125" s="15" t="n">
        <x:v>3727</x:v>
      </x:c>
      <x:c r="AA125" s="15" t="n">
        <x:v>1072</x:v>
      </x:c>
      <x:c r="AB125" s="15" t="n">
        <x:v>4343</x:v>
      </x:c>
      <x:c r="AC125" s="15" t="n">
        <x:v>1048</x:v>
      </x:c>
      <x:c r="AD125" s="15" t="n">
        <x:v>6637</x:v>
      </x:c>
      <x:c r="AE125" s="15" t="n">
        <x:v>1486</x:v>
      </x:c>
      <x:c r="AF125" s="15" t="n">
        <x:v>17882</x:v>
      </x:c>
      <x:c r="AG125" s="15" t="n">
        <x:v>2471</x:v>
      </x:c>
      <x:c r="AH125" s="15" t="n">
        <x:v>4878</x:v>
      </x:c>
      <x:c r="AI125" s="15" t="n">
        <x:v>1447</x:v>
      </x:c>
    </x:row>
    <x:row r="126" ht="22" customHeight="1">
      <x:c r="A126" s="1" t="str">
        <x:v>310M700US21780</x:v>
      </x:c>
      <x:c r="B126" s="1" t="str">
        <x:v>21780</x:v>
      </x:c>
      <x:c r="C126" s="1" t="str">
        <x:v>Evansville, IN Metro Area</x:v>
      </x:c>
      <x:c r="D126" s="5" t="n">
        <x:v>2024</x:v>
      </x:c>
      <x:c r="E126" s="1" t="str">
        <x:v>ok</x:v>
      </x:c>
      <x:c r="F126" s="15" t="n">
        <x:v>32665</x:v>
      </x:c>
      <x:c r="G126" s="15" t="n">
        <x:v>2164</x:v>
      </x:c>
      <x:c r="H126" s="15" t="n">
        <x:v>30501</x:v>
      </x:c>
      <x:c r="I126" s="15" t="n">
        <x:v>15573</x:v>
      </x:c>
      <x:c r="J126" s="15" t="n">
        <x:v>7804</x:v>
      </x:c>
      <x:c r="K126" s="15" t="n">
        <x:v>51.057342</x:v>
      </x:c>
      <x:c r="L126" s="15" t="n">
        <x:v>25.586046</x:v>
      </x:c>
      <x:c r="M126" s="15" t="n">
        <x:v>6.624828</x:v>
      </x:c>
      <x:c r="N126" s="15" t="n">
        <x:v>32665</x:v>
      </x:c>
      <x:c r="O126" s="15" t="n">
        <x:v>2254</x:v>
      </x:c>
      <x:c r="P126" s="15" t="n">
        <x:v>1225</x:v>
      </x:c>
      <x:c r="Q126" s="15" t="n">
        <x:v>695</x:v>
      </x:c>
      <x:c r="R126" s="15" t="n">
        <x:v>2662</x:v>
      </x:c>
      <x:c r="S126" s="15" t="n">
        <x:v>655</x:v>
      </x:c>
      <x:c r="T126" s="15" t="n">
        <x:v>3984</x:v>
      </x:c>
      <x:c r="U126" s="15" t="n">
        <x:v>1270</x:v>
      </x:c>
      <x:c r="V126" s="15" t="n">
        <x:v>4216</x:v>
      </x:c>
      <x:c r="W126" s="15" t="n">
        <x:v>1118</x:v>
      </x:c>
      <x:c r="X126" s="15" t="n">
        <x:v>2841</x:v>
      </x:c>
      <x:c r="Y126" s="15" t="n">
        <x:v>815</x:v>
      </x:c>
      <x:c r="Z126" s="15" t="n">
        <x:v>1924</x:v>
      </x:c>
      <x:c r="AA126" s="15" t="n">
        <x:v>767</x:v>
      </x:c>
      <x:c r="AB126" s="15" t="n">
        <x:v>2046</x:v>
      </x:c>
      <x:c r="AC126" s="15" t="n">
        <x:v>968</x:v>
      </x:c>
      <x:c r="AD126" s="15" t="n">
        <x:v>3799</x:v>
      </x:c>
      <x:c r="AE126" s="15" t="n">
        <x:v>1353</x:v>
      </x:c>
      <x:c r="AF126" s="15" t="n">
        <x:v>7804</x:v>
      </x:c>
      <x:c r="AG126" s="15" t="n">
        <x:v>1614</x:v>
      </x:c>
      <x:c r="AH126" s="15" t="n">
        <x:v>2164</x:v>
      </x:c>
      <x:c r="AI126" s="15" t="n">
        <x:v>742</x:v>
      </x:c>
    </x:row>
    <x:row r="127" ht="22" customHeight="1">
      <x:c r="A127" s="1" t="str">
        <x:v>310M700US21820</x:v>
      </x:c>
      <x:c r="B127" s="1" t="str">
        <x:v>21820</x:v>
      </x:c>
      <x:c r="C127" s="1" t="str">
        <x:v>Fairbanks-College, AK Metro Area</x:v>
      </x:c>
      <x:c r="D127" s="5" t="n">
        <x:v>2024</x:v>
      </x:c>
      <x:c r="E127" s="1" t="str">
        <x:v>ok</x:v>
      </x:c>
      <x:c r="F127" s="15" t="n">
        <x:v>12841</x:v>
      </x:c>
      <x:c r="G127" s="15" t="n">
        <x:v>1060</x:v>
      </x:c>
      <x:c r="H127" s="15" t="n">
        <x:v>11781</x:v>
      </x:c>
      <x:c r="I127" s="15" t="n">
        <x:v>5435</x:v>
      </x:c>
      <x:c r="J127" s="15" t="n">
        <x:v>1685</x:v>
      </x:c>
      <x:c r="K127" s="15" t="n">
        <x:v>46.133605</x:v>
      </x:c>
      <x:c r="L127" s="15" t="n">
        <x:v>14.302691</x:v>
      </x:c>
      <x:c r="M127" s="15" t="n">
        <x:v>8.254809</x:v>
      </x:c>
      <x:c r="N127" s="15" t="n">
        <x:v>12841</x:v>
      </x:c>
      <x:c r="O127" s="15" t="n">
        <x:v>1911</x:v>
      </x:c>
      <x:c r="P127" s="15" t="n">
        <x:v>242</x:v>
      </x:c>
      <x:c r="Q127" s="15" t="n">
        <x:v>264</x:v>
      </x:c>
      <x:c r="R127" s="15" t="n">
        <x:v>846</x:v>
      </x:c>
      <x:c r="S127" s="15" t="n">
        <x:v>519</x:v>
      </x:c>
      <x:c r="T127" s="15" t="n">
        <x:v>1601</x:v>
      </x:c>
      <x:c r="U127" s="15" t="n">
        <x:v>915</x:v>
      </x:c>
      <x:c r="V127" s="15" t="n">
        <x:v>1809</x:v>
      </x:c>
      <x:c r="W127" s="15" t="n">
        <x:v>819</x:v>
      </x:c>
      <x:c r="X127" s="15" t="n">
        <x:v>1848</x:v>
      </x:c>
      <x:c r="Y127" s="15" t="n">
        <x:v>935</x:v>
      </x:c>
      <x:c r="Z127" s="15" t="n">
        <x:v>2043</x:v>
      </x:c>
      <x:c r="AA127" s="15" t="n">
        <x:v>1068</x:v>
      </x:c>
      <x:c r="AB127" s="15" t="n">
        <x:v>738</x:v>
      </x:c>
      <x:c r="AC127" s="15" t="n">
        <x:v>547</x:v>
      </x:c>
      <x:c r="AD127" s="15" t="n">
        <x:v>969</x:v>
      </x:c>
      <x:c r="AE127" s="15" t="n">
        <x:v>626</x:v>
      </x:c>
      <x:c r="AF127" s="15" t="n">
        <x:v>1685</x:v>
      </x:c>
      <x:c r="AG127" s="15" t="n">
        <x:v>653</x:v>
      </x:c>
      <x:c r="AH127" s="15" t="n">
        <x:v>1060</x:v>
      </x:c>
      <x:c r="AI127" s="15" t="n">
        <x:v>593</x:v>
      </x:c>
    </x:row>
    <x:row r="128" ht="22" customHeight="1">
      <x:c r="A128" s="1" t="str">
        <x:v>310M700US22020</x:v>
      </x:c>
      <x:c r="B128" s="1" t="str">
        <x:v>22020</x:v>
      </x:c>
      <x:c r="C128" s="1" t="str">
        <x:v>Fargo, ND-MN Metro Area</x:v>
      </x:c>
      <x:c r="D128" s="5" t="n">
        <x:v>2024</x:v>
      </x:c>
      <x:c r="E128" s="1" t="str">
        <x:v>ok</x:v>
      </x:c>
      <x:c r="F128" s="15" t="n">
        <x:v>54893</x:v>
      </x:c>
      <x:c r="G128" s="15" t="n">
        <x:v>2287</x:v>
      </x:c>
      <x:c r="H128" s="15" t="n">
        <x:v>52606</x:v>
      </x:c>
      <x:c r="I128" s="15" t="n">
        <x:v>21270</x:v>
      </x:c>
      <x:c r="J128" s="15" t="n">
        <x:v>11486</x:v>
      </x:c>
      <x:c r="K128" s="15" t="n">
        <x:v>40.43265</x:v>
      </x:c>
      <x:c r="L128" s="15" t="n">
        <x:v>21.834011</x:v>
      </x:c>
      <x:c r="M128" s="15" t="n">
        <x:v>4.166287</x:v>
      </x:c>
      <x:c r="N128" s="15" t="n">
        <x:v>54893</x:v>
      </x:c>
      <x:c r="O128" s="15" t="n">
        <x:v>2615</x:v>
      </x:c>
      <x:c r="P128" s="15" t="n">
        <x:v>2861</x:v>
      </x:c>
      <x:c r="Q128" s="15" t="n">
        <x:v>1008</x:v>
      </x:c>
      <x:c r="R128" s="15" t="n">
        <x:v>4913</x:v>
      </x:c>
      <x:c r="S128" s="15" t="n">
        <x:v>1195</x:v>
      </x:c>
      <x:c r="T128" s="15" t="n">
        <x:v>9148</x:v>
      </x:c>
      <x:c r="U128" s="15" t="n">
        <x:v>2144</x:v>
      </x:c>
      <x:c r="V128" s="15" t="n">
        <x:v>7429</x:v>
      </x:c>
      <x:c r="W128" s="15" t="n">
        <x:v>1752</x:v>
      </x:c>
      <x:c r="X128" s="15" t="n">
        <x:v>6985</x:v>
      </x:c>
      <x:c r="Y128" s="15" t="n">
        <x:v>1809</x:v>
      </x:c>
      <x:c r="Z128" s="15" t="n">
        <x:v>3554</x:v>
      </x:c>
      <x:c r="AA128" s="15" t="n">
        <x:v>1113</x:v>
      </x:c>
      <x:c r="AB128" s="15" t="n">
        <x:v>2559</x:v>
      </x:c>
      <x:c r="AC128" s="15" t="n">
        <x:v>1013</x:v>
      </x:c>
      <x:c r="AD128" s="15" t="n">
        <x:v>3671</x:v>
      </x:c>
      <x:c r="AE128" s="15" t="n">
        <x:v>1219</x:v>
      </x:c>
      <x:c r="AF128" s="15" t="n">
        <x:v>11486</x:v>
      </x:c>
      <x:c r="AG128" s="15" t="n">
        <x:v>2368</x:v>
      </x:c>
      <x:c r="AH128" s="15" t="n">
        <x:v>2287</x:v>
      </x:c>
      <x:c r="AI128" s="15" t="n">
        <x:v>1017</x:v>
      </x:c>
    </x:row>
    <x:row r="129" ht="22" customHeight="1">
      <x:c r="A129" s="1" t="str">
        <x:v>310M700US22140</x:v>
      </x:c>
      <x:c r="B129" s="1" t="str">
        <x:v>22140</x:v>
      </x:c>
      <x:c r="C129" s="1" t="str">
        <x:v>Farmington, NM Metro Area</x:v>
      </x:c>
      <x:c r="D129" s="5" t="n">
        <x:v>2024</x:v>
      </x:c>
      <x:c r="E129" s="1" t="str">
        <x:v>ok</x:v>
      </x:c>
      <x:c r="F129" s="15" t="n">
        <x:v>11019</x:v>
      </x:c>
      <x:c r="G129" s="15" t="n">
        <x:v>2498</x:v>
      </x:c>
      <x:c r="H129" s="15" t="n">
        <x:v>8521</x:v>
      </x:c>
      <x:c r="I129" s="15" t="n">
        <x:v>2817</x:v>
      </x:c>
      <x:c r="J129" s="15" t="n">
        <x:v>1430</x:v>
      </x:c>
      <x:c r="K129" s="15" t="n">
        <x:v>33.0595</x:v>
      </x:c>
      <x:c r="L129" s="15" t="n">
        <x:v>16.782068</x:v>
      </x:c>
      <x:c r="M129" s="15" t="n">
        <x:v>22.669934</x:v>
      </x:c>
      <x:c r="N129" s="15" t="n">
        <x:v>11019</x:v>
      </x:c>
      <x:c r="O129" s="15" t="n">
        <x:v>1695</x:v>
      </x:c>
      <x:c r="P129" s="15" t="n">
        <x:v>737</x:v>
      </x:c>
      <x:c r="Q129" s="15" t="n">
        <x:v>399</x:v>
      </x:c>
      <x:c r="R129" s="15" t="n">
        <x:v>1288</x:v>
      </x:c>
      <x:c r="S129" s="15" t="n">
        <x:v>764</x:v>
      </x:c>
      <x:c r="T129" s="15" t="n">
        <x:v>1038</x:v>
      </x:c>
      <x:c r="U129" s="15" t="n">
        <x:v>593</x:v>
      </x:c>
      <x:c r="V129" s="15" t="n">
        <x:v>1353</x:v>
      </x:c>
      <x:c r="W129" s="15" t="n">
        <x:v>608</x:v>
      </x:c>
      <x:c r="X129" s="15" t="n">
        <x:v>1288</x:v>
      </x:c>
      <x:c r="Y129" s="15" t="n">
        <x:v>770</x:v>
      </x:c>
      <x:c r="Z129" s="15" t="n">
        <x:v>423</x:v>
      </x:c>
      <x:c r="AA129" s="15" t="n">
        <x:v>323</x:v>
      </x:c>
      <x:c r="AB129" s="15" t="n">
        <x:v>405</x:v>
      </x:c>
      <x:c r="AC129" s="15" t="n">
        <x:v>295</x:v>
      </x:c>
      <x:c r="AD129" s="15" t="n">
        <x:v>559</x:v>
      </x:c>
      <x:c r="AE129" s="15" t="n">
        <x:v>408</x:v>
      </x:c>
      <x:c r="AF129" s="15" t="n">
        <x:v>1430</x:v>
      </x:c>
      <x:c r="AG129" s="15" t="n">
        <x:v>593</x:v>
      </x:c>
      <x:c r="AH129" s="15" t="n">
        <x:v>2498</x:v>
      </x:c>
      <x:c r="AI129" s="15" t="n">
        <x:v>898</x:v>
      </x:c>
    </x:row>
    <x:row r="130" ht="22" customHeight="1">
      <x:c r="A130" s="1" t="str">
        <x:v>310M700US22180</x:v>
      </x:c>
      <x:c r="B130" s="1" t="str">
        <x:v>22180</x:v>
      </x:c>
      <x:c r="C130" s="1" t="str">
        <x:v>Fayetteville, NC Metro Area</x:v>
      </x:c>
      <x:c r="D130" s="5" t="n">
        <x:v>2024</x:v>
      </x:c>
      <x:c r="E130" s="1" t="str">
        <x:v>ok</x:v>
      </x:c>
      <x:c r="F130" s="15" t="n">
        <x:v>59173</x:v>
      </x:c>
      <x:c r="G130" s="15" t="n">
        <x:v>4703</x:v>
      </x:c>
      <x:c r="H130" s="15" t="n">
        <x:v>54470</x:v>
      </x:c>
      <x:c r="I130" s="15" t="n">
        <x:v>32599</x:v>
      </x:c>
      <x:c r="J130" s="15" t="n">
        <x:v>13962</x:v>
      </x:c>
      <x:c r="K130" s="15" t="n">
        <x:v>59.847623</x:v>
      </x:c>
      <x:c r="L130" s="15" t="n">
        <x:v>25.632458</x:v>
      </x:c>
      <x:c r="M130" s="15" t="n">
        <x:v>7.947882</x:v>
      </x:c>
      <x:c r="N130" s="15" t="n">
        <x:v>59173</x:v>
      </x:c>
      <x:c r="O130" s="15" t="n">
        <x:v>2432</x:v>
      </x:c>
      <x:c r="P130" s="15" t="n">
        <x:v>1572</x:v>
      </x:c>
      <x:c r="Q130" s="15" t="n">
        <x:v>481</x:v>
      </x:c>
      <x:c r="R130" s="15" t="n">
        <x:v>2759</x:v>
      </x:c>
      <x:c r="S130" s="15" t="n">
        <x:v>851</x:v>
      </x:c>
      <x:c r="T130" s="15" t="n">
        <x:v>5581</x:v>
      </x:c>
      <x:c r="U130" s="15" t="n">
        <x:v>1073</x:v>
      </x:c>
      <x:c r="V130" s="15" t="n">
        <x:v>7209</x:v>
      </x:c>
      <x:c r="W130" s="15" t="n">
        <x:v>1128</x:v>
      </x:c>
      <x:c r="X130" s="15" t="n">
        <x:v>4750</x:v>
      </x:c>
      <x:c r="Y130" s="15" t="n">
        <x:v>969</x:v>
      </x:c>
      <x:c r="Z130" s="15" t="n">
        <x:v>6748</x:v>
      </x:c>
      <x:c r="AA130" s="15" t="n">
        <x:v>1232</x:v>
      </x:c>
      <x:c r="AB130" s="15" t="n">
        <x:v>3953</x:v>
      </x:c>
      <x:c r="AC130" s="15" t="n">
        <x:v>996</x:v>
      </x:c>
      <x:c r="AD130" s="15" t="n">
        <x:v>7936</x:v>
      </x:c>
      <x:c r="AE130" s="15" t="n">
        <x:v>1399</x:v>
      </x:c>
      <x:c r="AF130" s="15" t="n">
        <x:v>13962</x:v>
      </x:c>
      <x:c r="AG130" s="15" t="n">
        <x:v>1671</x:v>
      </x:c>
      <x:c r="AH130" s="15" t="n">
        <x:v>4703</x:v>
      </x:c>
      <x:c r="AI130" s="15" t="n">
        <x:v>1074</x:v>
      </x:c>
    </x:row>
    <x:row r="131" ht="22" customHeight="1">
      <x:c r="A131" s="1" t="str">
        <x:v>310M700US22220</x:v>
      </x:c>
      <x:c r="B131" s="1" t="str">
        <x:v>22220</x:v>
      </x:c>
      <x:c r="C131" s="1" t="str">
        <x:v>Fayetteville-Springdale-Rogers, AR Metro Area</x:v>
      </x:c>
      <x:c r="D131" s="5" t="n">
        <x:v>2024</x:v>
      </x:c>
      <x:c r="E131" s="1" t="str">
        <x:v>ok</x:v>
      </x:c>
      <x:c r="F131" s="15" t="n">
        <x:v>87526</x:v>
      </x:c>
      <x:c r="G131" s="15" t="n">
        <x:v>8233</x:v>
      </x:c>
      <x:c r="H131" s="15" t="n">
        <x:v>79293</x:v>
      </x:c>
      <x:c r="I131" s="15" t="n">
        <x:v>34045</x:v>
      </x:c>
      <x:c r="J131" s="15" t="n">
        <x:v>14710</x:v>
      </x:c>
      <x:c r="K131" s="15" t="n">
        <x:v>42.935694</x:v>
      </x:c>
      <x:c r="L131" s="15" t="n">
        <x:v>18.551448</x:v>
      </x:c>
      <x:c r="M131" s="15" t="n">
        <x:v>9.406348</x:v>
      </x:c>
      <x:c r="N131" s="15" t="n">
        <x:v>87526</x:v>
      </x:c>
      <x:c r="O131" s="15" t="n">
        <x:v>5128</x:v>
      </x:c>
      <x:c r="P131" s="15" t="n">
        <x:v>2803</x:v>
      </x:c>
      <x:c r="Q131" s="15" t="n">
        <x:v>1012</x:v>
      </x:c>
      <x:c r="R131" s="15" t="n">
        <x:v>7273</x:v>
      </x:c>
      <x:c r="S131" s="15" t="n">
        <x:v>1695</x:v>
      </x:c>
      <x:c r="T131" s="15" t="n">
        <x:v>12583</x:v>
      </x:c>
      <x:c r="U131" s="15" t="n">
        <x:v>2324</x:v>
      </x:c>
      <x:c r="V131" s="15" t="n">
        <x:v>13743</x:v>
      </x:c>
      <x:c r="W131" s="15" t="n">
        <x:v>2177</x:v>
      </x:c>
      <x:c r="X131" s="15" t="n">
        <x:v>8846</x:v>
      </x:c>
      <x:c r="Y131" s="15" t="n">
        <x:v>1785</x:v>
      </x:c>
      <x:c r="Z131" s="15" t="n">
        <x:v>5993</x:v>
      </x:c>
      <x:c r="AA131" s="15" t="n">
        <x:v>1461</x:v>
      </x:c>
      <x:c r="AB131" s="15" t="n">
        <x:v>5535</x:v>
      </x:c>
      <x:c r="AC131" s="15" t="n">
        <x:v>1657</x:v>
      </x:c>
      <x:c r="AD131" s="15" t="n">
        <x:v>7807</x:v>
      </x:c>
      <x:c r="AE131" s="15" t="n">
        <x:v>1921</x:v>
      </x:c>
      <x:c r="AF131" s="15" t="n">
        <x:v>14710</x:v>
      </x:c>
      <x:c r="AG131" s="15" t="n">
        <x:v>2624</x:v>
      </x:c>
      <x:c r="AH131" s="15" t="n">
        <x:v>8233</x:v>
      </x:c>
      <x:c r="AI131" s="15" t="n">
        <x:v>2183</x:v>
      </x:c>
    </x:row>
    <x:row r="132" ht="22" customHeight="1">
      <x:c r="A132" s="1" t="str">
        <x:v>310M700US22380</x:v>
      </x:c>
      <x:c r="B132" s="1" t="str">
        <x:v>22380</x:v>
      </x:c>
      <x:c r="C132" s="1" t="str">
        <x:v>Flagstaff, AZ Metro Area</x:v>
      </x:c>
      <x:c r="D132" s="5" t="n">
        <x:v>2024</x:v>
      </x:c>
      <x:c r="E132" s="1" t="str">
        <x:v>ok</x:v>
      </x:c>
      <x:c r="F132" s="15" t="n">
        <x:v>21971</x:v>
      </x:c>
      <x:c r="G132" s="15" t="n">
        <x:v>1628</x:v>
      </x:c>
      <x:c r="H132" s="15" t="n">
        <x:v>20343</x:v>
      </x:c>
      <x:c r="I132" s="15" t="n">
        <x:v>9945</x:v>
      </x:c>
      <x:c r="J132" s="15" t="n">
        <x:v>6407</x:v>
      </x:c>
      <x:c r="K132" s="15" t="n">
        <x:v>48.886595</x:v>
      </x:c>
      <x:c r="L132" s="15" t="n">
        <x:v>31.494863</x:v>
      </x:c>
      <x:c r="M132" s="15" t="n">
        <x:v>7.409767</x:v>
      </x:c>
      <x:c r="N132" s="15" t="n">
        <x:v>21971</x:v>
      </x:c>
      <x:c r="O132" s="15" t="n">
        <x:v>2466</x:v>
      </x:c>
      <x:c r="P132" s="15" t="n">
        <x:v>1334</x:v>
      </x:c>
      <x:c r="Q132" s="15" t="n">
        <x:v>736</x:v>
      </x:c>
      <x:c r="R132" s="15" t="n">
        <x:v>2211</x:v>
      </x:c>
      <x:c r="S132" s="15" t="n">
        <x:v>933</x:v>
      </x:c>
      <x:c r="T132" s="15" t="n">
        <x:v>2155</x:v>
      </x:c>
      <x:c r="U132" s="15" t="n">
        <x:v>1051</x:v>
      </x:c>
      <x:c r="V132" s="15" t="n">
        <x:v>2255</x:v>
      </x:c>
      <x:c r="W132" s="15" t="n">
        <x:v>1159</x:v>
      </x:c>
      <x:c r="X132" s="15" t="n">
        <x:v>2443</x:v>
      </x:c>
      <x:c r="Y132" s="15" t="n">
        <x:v>1031</x:v>
      </x:c>
      <x:c r="Z132" s="15" t="n">
        <x:v>1273</x:v>
      </x:c>
      <x:c r="AA132" s="15" t="n">
        <x:v>718</x:v>
      </x:c>
      <x:c r="AB132" s="15" t="n">
        <x:v>958</x:v>
      </x:c>
      <x:c r="AC132" s="15" t="n">
        <x:v>487</x:v>
      </x:c>
      <x:c r="AD132" s="15" t="n">
        <x:v>1307</x:v>
      </x:c>
      <x:c r="AE132" s="15" t="n">
        <x:v>713</x:v>
      </x:c>
      <x:c r="AF132" s="15" t="n">
        <x:v>6407</x:v>
      </x:c>
      <x:c r="AG132" s="15" t="n">
        <x:v>1772</x:v>
      </x:c>
      <x:c r="AH132" s="15" t="n">
        <x:v>1628</x:v>
      </x:c>
      <x:c r="AI132" s="15" t="n">
        <x:v>733</x:v>
      </x:c>
    </x:row>
    <x:row r="133" ht="22" customHeight="1">
      <x:c r="A133" s="1" t="str">
        <x:v>310M700US22420</x:v>
      </x:c>
      <x:c r="B133" s="1" t="str">
        <x:v>22420</x:v>
      </x:c>
      <x:c r="C133" s="1" t="str">
        <x:v>Flint, MI Metro Area</x:v>
      </x:c>
      <x:c r="D133" s="5" t="n">
        <x:v>2024</x:v>
      </x:c>
      <x:c r="E133" s="1" t="str">
        <x:v>ok</x:v>
      </x:c>
      <x:c r="F133" s="15" t="n">
        <x:v>48642</x:v>
      </x:c>
      <x:c r="G133" s="15" t="n">
        <x:v>3504</x:v>
      </x:c>
      <x:c r="H133" s="15" t="n">
        <x:v>45138</x:v>
      </x:c>
      <x:c r="I133" s="15" t="n">
        <x:v>23148</x:v>
      </x:c>
      <x:c r="J133" s="15" t="n">
        <x:v>11823</x:v>
      </x:c>
      <x:c r="K133" s="15" t="n">
        <x:v>51.282733</x:v>
      </x:c>
      <x:c r="L133" s="15" t="n">
        <x:v>26.193008</x:v>
      </x:c>
      <x:c r="M133" s="15" t="n">
        <x:v>7.203651</x:v>
      </x:c>
      <x:c r="N133" s="15" t="n">
        <x:v>48642</x:v>
      </x:c>
      <x:c r="O133" s="15" t="n">
        <x:v>3178</x:v>
      </x:c>
      <x:c r="P133" s="15" t="n">
        <x:v>2268</x:v>
      </x:c>
      <x:c r="Q133" s="15" t="n">
        <x:v>1089</x:v>
      </x:c>
      <x:c r="R133" s="15" t="n">
        <x:v>4496</x:v>
      </x:c>
      <x:c r="S133" s="15" t="n">
        <x:v>1039</x:v>
      </x:c>
      <x:c r="T133" s="15" t="n">
        <x:v>4346</x:v>
      </x:c>
      <x:c r="U133" s="15" t="n">
        <x:v>1309</x:v>
      </x:c>
      <x:c r="V133" s="15" t="n">
        <x:v>5711</x:v>
      </x:c>
      <x:c r="W133" s="15" t="n">
        <x:v>1468</x:v>
      </x:c>
      <x:c r="X133" s="15" t="n">
        <x:v>5169</x:v>
      </x:c>
      <x:c r="Y133" s="15" t="n">
        <x:v>1364</x:v>
      </x:c>
      <x:c r="Z133" s="15" t="n">
        <x:v>3523</x:v>
      </x:c>
      <x:c r="AA133" s="15" t="n">
        <x:v>1167</x:v>
      </x:c>
      <x:c r="AB133" s="15" t="n">
        <x:v>3133</x:v>
      </x:c>
      <x:c r="AC133" s="15" t="n">
        <x:v>1324</x:v>
      </x:c>
      <x:c r="AD133" s="15" t="n">
        <x:v>4669</x:v>
      </x:c>
      <x:c r="AE133" s="15" t="n">
        <x:v>1446</x:v>
      </x:c>
      <x:c r="AF133" s="15" t="n">
        <x:v>11823</x:v>
      </x:c>
      <x:c r="AG133" s="15" t="n">
        <x:v>1758</x:v>
      </x:c>
      <x:c r="AH133" s="15" t="n">
        <x:v>3504</x:v>
      </x:c>
      <x:c r="AI133" s="15" t="n">
        <x:v>1067</x:v>
      </x:c>
    </x:row>
    <x:row r="134" ht="22" customHeight="1">
      <x:c r="A134" s="1" t="str">
        <x:v>310M700US22500</x:v>
      </x:c>
      <x:c r="B134" s="1" t="str">
        <x:v>22500</x:v>
      </x:c>
      <x:c r="C134" s="1" t="str">
        <x:v>Florence, SC Metro Area</x:v>
      </x:c>
      <x:c r="D134" s="5" t="n">
        <x:v>2024</x:v>
      </x:c>
      <x:c r="E134" s="1" t="str">
        <x:v>ok</x:v>
      </x:c>
      <x:c r="F134" s="15" t="n">
        <x:v>25730</x:v>
      </x:c>
      <x:c r="G134" s="15" t="n">
        <x:v>3646</x:v>
      </x:c>
      <x:c r="H134" s="15" t="n">
        <x:v>22084</x:v>
      </x:c>
      <x:c r="I134" s="15" t="n">
        <x:v>11755</x:v>
      </x:c>
      <x:c r="J134" s="15" t="n">
        <x:v>7387</x:v>
      </x:c>
      <x:c r="K134" s="15" t="n">
        <x:v>53.228582</x:v>
      </x:c>
      <x:c r="L134" s="15" t="n">
        <x:v>33.449556</x:v>
      </x:c>
      <x:c r="M134" s="15" t="n">
        <x:v>14.170229</x:v>
      </x:c>
      <x:c r="N134" s="15" t="n">
        <x:v>25730</x:v>
      </x:c>
      <x:c r="O134" s="15" t="n">
        <x:v>2647</x:v>
      </x:c>
      <x:c r="P134" s="15" t="n">
        <x:v>372</x:v>
      </x:c>
      <x:c r="Q134" s="15" t="n">
        <x:v>286</x:v>
      </x:c>
      <x:c r="R134" s="15" t="n">
        <x:v>3037</x:v>
      </x:c>
      <x:c r="S134" s="15" t="n">
        <x:v>1301</x:v>
      </x:c>
      <x:c r="T134" s="15" t="n">
        <x:v>2118</x:v>
      </x:c>
      <x:c r="U134" s="15" t="n">
        <x:v>1042</x:v>
      </x:c>
      <x:c r="V134" s="15" t="n">
        <x:v>1630</x:v>
      </x:c>
      <x:c r="W134" s="15" t="n">
        <x:v>852</x:v>
      </x:c>
      <x:c r="X134" s="15" t="n">
        <x:v>3172</x:v>
      </x:c>
      <x:c r="Y134" s="15" t="n">
        <x:v>1322</x:v>
      </x:c>
      <x:c r="Z134" s="15" t="n">
        <x:v>2477</x:v>
      </x:c>
      <x:c r="AA134" s="15" t="n">
        <x:v>1040</x:v>
      </x:c>
      <x:c r="AB134" s="15" t="n">
        <x:v>659</x:v>
      </x:c>
      <x:c r="AC134" s="15" t="n">
        <x:v>458</x:v>
      </x:c>
      <x:c r="AD134" s="15" t="n">
        <x:v>1232</x:v>
      </x:c>
      <x:c r="AE134" s="15" t="n">
        <x:v>634</x:v>
      </x:c>
      <x:c r="AF134" s="15" t="n">
        <x:v>7387</x:v>
      </x:c>
      <x:c r="AG134" s="15" t="n">
        <x:v>2086</x:v>
      </x:c>
      <x:c r="AH134" s="15" t="n">
        <x:v>3646</x:v>
      </x:c>
      <x:c r="AI134" s="15" t="n">
        <x:v>1173</x:v>
      </x:c>
    </x:row>
    <x:row r="135" ht="22" customHeight="1">
      <x:c r="A135" s="1" t="str">
        <x:v>310M700US22520</x:v>
      </x:c>
      <x:c r="B135" s="1" t="str">
        <x:v>22520</x:v>
      </x:c>
      <x:c r="C135" s="1" t="str">
        <x:v>Florence-Muscle Shoals, AL Metro Area</x:v>
      </x:c>
      <x:c r="D135" s="5" t="n">
        <x:v>2024</x:v>
      </x:c>
      <x:c r="E135" s="1" t="str">
        <x:v>ok</x:v>
      </x:c>
      <x:c r="F135" s="15" t="n">
        <x:v>17757</x:v>
      </x:c>
      <x:c r="G135" s="15" t="n">
        <x:v>2488</x:v>
      </x:c>
      <x:c r="H135" s="15" t="n">
        <x:v>15269</x:v>
      </x:c>
      <x:c r="I135" s="15" t="n">
        <x:v>5857</x:v>
      </x:c>
      <x:c r="J135" s="15" t="n">
        <x:v>3353</x:v>
      </x:c>
      <x:c r="K135" s="15" t="n">
        <x:v>38.358766</x:v>
      </x:c>
      <x:c r="L135" s="15" t="n">
        <x:v>21.959526</x:v>
      </x:c>
      <x:c r="M135" s="15" t="n">
        <x:v>14.011376</x:v>
      </x:c>
      <x:c r="N135" s="15" t="n">
        <x:v>17757</x:v>
      </x:c>
      <x:c r="O135" s="15" t="n">
        <x:v>1937</x:v>
      </x:c>
      <x:c r="P135" s="15" t="n">
        <x:v>678</x:v>
      </x:c>
      <x:c r="Q135" s="15" t="n">
        <x:v>444</x:v>
      </x:c>
      <x:c r="R135" s="15" t="n">
        <x:v>2414</x:v>
      </x:c>
      <x:c r="S135" s="15" t="n">
        <x:v>959</x:v>
      </x:c>
      <x:c r="T135" s="15" t="n">
        <x:v>2347</x:v>
      </x:c>
      <x:c r="U135" s="15" t="n">
        <x:v>870</x:v>
      </x:c>
      <x:c r="V135" s="15" t="n">
        <x:v>2214</x:v>
      </x:c>
      <x:c r="W135" s="15" t="n">
        <x:v>906</x:v>
      </x:c>
      <x:c r="X135" s="15" t="n">
        <x:v>1759</x:v>
      </x:c>
      <x:c r="Y135" s="15" t="n">
        <x:v>886</x:v>
      </x:c>
      <x:c r="Z135" s="15" t="n">
        <x:v>847</x:v>
      </x:c>
      <x:c r="AA135" s="15" t="n">
        <x:v>414</x:v>
      </x:c>
      <x:c r="AB135" s="15" t="n">
        <x:v>390</x:v>
      </x:c>
      <x:c r="AC135" s="15" t="n">
        <x:v>428</x:v>
      </x:c>
      <x:c r="AD135" s="15" t="n">
        <x:v>1267</x:v>
      </x:c>
      <x:c r="AE135" s="15" t="n">
        <x:v>749</x:v>
      </x:c>
      <x:c r="AF135" s="15" t="n">
        <x:v>3353</x:v>
      </x:c>
      <x:c r="AG135" s="15" t="n">
        <x:v>1172</x:v>
      </x:c>
      <x:c r="AH135" s="15" t="n">
        <x:v>2488</x:v>
      </x:c>
      <x:c r="AI135" s="15" t="n">
        <x:v>815</x:v>
      </x:c>
    </x:row>
    <x:row r="136" ht="22" customHeight="1">
      <x:c r="A136" s="1" t="str">
        <x:v>310M700US22540</x:v>
      </x:c>
      <x:c r="B136" s="1" t="str">
        <x:v>22540</x:v>
      </x:c>
      <x:c r="C136" s="1" t="str">
        <x:v>Fond du Lac, WI Metro Area</x:v>
      </x:c>
      <x:c r="D136" s="5" t="n">
        <x:v>2024</x:v>
      </x:c>
      <x:c r="E136" s="1" t="str">
        <x:v>ok</x:v>
      </x:c>
      <x:c r="F136" s="15" t="n">
        <x:v>12356</x:v>
      </x:c>
      <x:c r="G136" s="15" t="n">
        <x:v>348</x:v>
      </x:c>
      <x:c r="H136" s="15" t="n">
        <x:v>12008</x:v>
      </x:c>
      <x:c r="I136" s="15" t="n">
        <x:v>5054</x:v>
      </x:c>
      <x:c r="J136" s="15" t="n">
        <x:v>2200</x:v>
      </x:c>
      <x:c r="K136" s="15" t="n">
        <x:v>42.088608</x:v>
      </x:c>
      <x:c r="L136" s="15" t="n">
        <x:v>18.321119</x:v>
      </x:c>
      <x:c r="M136" s="15" t="n">
        <x:v>2.816445</x:v>
      </x:c>
      <x:c r="N136" s="15" t="n">
        <x:v>12356</x:v>
      </x:c>
      <x:c r="O136" s="15" t="n">
        <x:v>1535</x:v>
      </x:c>
      <x:c r="P136" s="15" t="n">
        <x:v>890</x:v>
      </x:c>
      <x:c r="Q136" s="15" t="n">
        <x:v>598</x:v>
      </x:c>
      <x:c r="R136" s="15" t="n">
        <x:v>1816</x:v>
      </x:c>
      <x:c r="S136" s="15" t="n">
        <x:v>703</x:v>
      </x:c>
      <x:c r="T136" s="15" t="n">
        <x:v>2215</x:v>
      </x:c>
      <x:c r="U136" s="15" t="n">
        <x:v>933</x:v>
      </x:c>
      <x:c r="V136" s="15" t="n">
        <x:v>1261</x:v>
      </x:c>
      <x:c r="W136" s="15" t="n">
        <x:v>734</x:v>
      </x:c>
      <x:c r="X136" s="15" t="n">
        <x:v>772</x:v>
      </x:c>
      <x:c r="Y136" s="15" t="n">
        <x:v>388</x:v>
      </x:c>
      <x:c r="Z136" s="15" t="n">
        <x:v>1074</x:v>
      </x:c>
      <x:c r="AA136" s="15" t="n">
        <x:v>575</x:v>
      </x:c>
      <x:c r="AB136" s="15" t="n">
        <x:v>595</x:v>
      </x:c>
      <x:c r="AC136" s="15" t="n">
        <x:v>368</x:v>
      </x:c>
      <x:c r="AD136" s="15" t="n">
        <x:v>1185</x:v>
      </x:c>
      <x:c r="AE136" s="15" t="n">
        <x:v>537</x:v>
      </x:c>
      <x:c r="AF136" s="15" t="n">
        <x:v>2200</x:v>
      </x:c>
      <x:c r="AG136" s="15" t="n">
        <x:v>900</x:v>
      </x:c>
      <x:c r="AH136" s="15" t="n">
        <x:v>348</x:v>
      </x:c>
      <x:c r="AI136" s="15" t="n">
        <x:v>235</x:v>
      </x:c>
    </x:row>
    <x:row r="137" ht="22" customHeight="1">
      <x:c r="A137" s="1" t="str">
        <x:v>310M700US22660</x:v>
      </x:c>
      <x:c r="B137" s="1" t="str">
        <x:v>22660</x:v>
      </x:c>
      <x:c r="C137" s="1" t="str">
        <x:v>Fort Collins-Loveland, CO Metro Area</x:v>
      </x:c>
      <x:c r="D137" s="5" t="n">
        <x:v>2024</x:v>
      </x:c>
      <x:c r="E137" s="1" t="str">
        <x:v>ok</x:v>
      </x:c>
      <x:c r="F137" s="15" t="n">
        <x:v>59053</x:v>
      </x:c>
      <x:c r="G137" s="15" t="n">
        <x:v>2421</x:v>
      </x:c>
      <x:c r="H137" s="15" t="n">
        <x:v>56632</x:v>
      </x:c>
      <x:c r="I137" s="15" t="n">
        <x:v>32741</x:v>
      </x:c>
      <x:c r="J137" s="15" t="n">
        <x:v>14789</x:v>
      </x:c>
      <x:c r="K137" s="15" t="n">
        <x:v>57.813604</x:v>
      </x:c>
      <x:c r="L137" s="15" t="n">
        <x:v>26.114211</x:v>
      </x:c>
      <x:c r="M137" s="15" t="n">
        <x:v>4.099707</x:v>
      </x:c>
      <x:c r="N137" s="15" t="n">
        <x:v>59053</x:v>
      </x:c>
      <x:c r="O137" s="15" t="n">
        <x:v>2925</x:v>
      </x:c>
      <x:c r="P137" s="15" t="n">
        <x:v>734</x:v>
      </x:c>
      <x:c r="Q137" s="15" t="n">
        <x:v>399</x:v>
      </x:c>
      <x:c r="R137" s="15" t="n">
        <x:v>3558</x:v>
      </x:c>
      <x:c r="S137" s="15" t="n">
        <x:v>1221</x:v>
      </x:c>
      <x:c r="T137" s="15" t="n">
        <x:v>5316</x:v>
      </x:c>
      <x:c r="U137" s="15" t="n">
        <x:v>1605</x:v>
      </x:c>
      <x:c r="V137" s="15" t="n">
        <x:v>8265</x:v>
      </x:c>
      <x:c r="W137" s="15" t="n">
        <x:v>2122</x:v>
      </x:c>
      <x:c r="X137" s="15" t="n">
        <x:v>6018</x:v>
      </x:c>
      <x:c r="Y137" s="15" t="n">
        <x:v>1330</x:v>
      </x:c>
      <x:c r="Z137" s="15" t="n">
        <x:v>8468</x:v>
      </x:c>
      <x:c r="AA137" s="15" t="n">
        <x:v>2064</x:v>
      </x:c>
      <x:c r="AB137" s="15" t="n">
        <x:v>4210</x:v>
      </x:c>
      <x:c r="AC137" s="15" t="n">
        <x:v>1218</x:v>
      </x:c>
      <x:c r="AD137" s="15" t="n">
        <x:v>5274</x:v>
      </x:c>
      <x:c r="AE137" s="15" t="n">
        <x:v>1808</x:v>
      </x:c>
      <x:c r="AF137" s="15" t="n">
        <x:v>14789</x:v>
      </x:c>
      <x:c r="AG137" s="15" t="n">
        <x:v>2232</x:v>
      </x:c>
      <x:c r="AH137" s="15" t="n">
        <x:v>2421</x:v>
      </x:c>
      <x:c r="AI137" s="15" t="n">
        <x:v>809</x:v>
      </x:c>
    </x:row>
    <x:row r="138" ht="22" customHeight="1">
      <x:c r="A138" s="1" t="str">
        <x:v>310M700US22900</x:v>
      </x:c>
      <x:c r="B138" s="1" t="str">
        <x:v>22900</x:v>
      </x:c>
      <x:c r="C138" s="1" t="str">
        <x:v>Fort Smith, AR-OK Metro Area</x:v>
      </x:c>
      <x:c r="D138" s="5" t="n">
        <x:v>2024</x:v>
      </x:c>
      <x:c r="E138" s="1" t="str">
        <x:v>ok</x:v>
      </x:c>
      <x:c r="F138" s="15" t="n">
        <x:v>31428</x:v>
      </x:c>
      <x:c r="G138" s="15" t="n">
        <x:v>3189</x:v>
      </x:c>
      <x:c r="H138" s="15" t="n">
        <x:v>28239</x:v>
      </x:c>
      <x:c r="I138" s="15" t="n">
        <x:v>11242</x:v>
      </x:c>
      <x:c r="J138" s="15" t="n">
        <x:v>4396</x:v>
      </x:c>
      <x:c r="K138" s="15" t="n">
        <x:v>39.810192</x:v>
      </x:c>
      <x:c r="L138" s="15" t="n">
        <x:v>15.567123</x:v>
      </x:c>
      <x:c r="M138" s="15" t="n">
        <x:v>10.147003</x:v>
      </x:c>
      <x:c r="N138" s="15" t="n">
        <x:v>31428</x:v>
      </x:c>
      <x:c r="O138" s="15" t="n">
        <x:v>2544</x:v>
      </x:c>
      <x:c r="P138" s="15" t="n">
        <x:v>2251</x:v>
      </x:c>
      <x:c r="Q138" s="15" t="n">
        <x:v>973</x:v>
      </x:c>
      <x:c r="R138" s="15" t="n">
        <x:v>2823</x:v>
      </x:c>
      <x:c r="S138" s="15" t="n">
        <x:v>925</x:v>
      </x:c>
      <x:c r="T138" s="15" t="n">
        <x:v>3125</x:v>
      </x:c>
      <x:c r="U138" s="15" t="n">
        <x:v>886</x:v>
      </x:c>
      <x:c r="V138" s="15" t="n">
        <x:v>4638</x:v>
      </x:c>
      <x:c r="W138" s="15" t="n">
        <x:v>1412</x:v>
      </x:c>
      <x:c r="X138" s="15" t="n">
        <x:v>4160</x:v>
      </x:c>
      <x:c r="Y138" s="15" t="n">
        <x:v>1249</x:v>
      </x:c>
      <x:c r="Z138" s="15" t="n">
        <x:v>1952</x:v>
      </x:c>
      <x:c r="AA138" s="15" t="n">
        <x:v>833</x:v>
      </x:c>
      <x:c r="AB138" s="15" t="n">
        <x:v>1561</x:v>
      </x:c>
      <x:c r="AC138" s="15" t="n">
        <x:v>623</x:v>
      </x:c>
      <x:c r="AD138" s="15" t="n">
        <x:v>3333</x:v>
      </x:c>
      <x:c r="AE138" s="15" t="n">
        <x:v>1196</x:v>
      </x:c>
      <x:c r="AF138" s="15" t="n">
        <x:v>4396</x:v>
      </x:c>
      <x:c r="AG138" s="15" t="n">
        <x:v>1237</x:v>
      </x:c>
      <x:c r="AH138" s="15" t="n">
        <x:v>3189</x:v>
      </x:c>
      <x:c r="AI138" s="15" t="n">
        <x:v>997</x:v>
      </x:c>
    </x:row>
    <x:row r="139" ht="22" customHeight="1">
      <x:c r="A139" s="1" t="str">
        <x:v>310M700US23060</x:v>
      </x:c>
      <x:c r="B139" s="1" t="str">
        <x:v>23060</x:v>
      </x:c>
      <x:c r="C139" s="1" t="str">
        <x:v>Fort Wayne, IN Metro Area</x:v>
      </x:c>
      <x:c r="D139" s="5" t="n">
        <x:v>2024</x:v>
      </x:c>
      <x:c r="E139" s="1" t="str">
        <x:v>ok</x:v>
      </x:c>
      <x:c r="F139" s="15" t="n">
        <x:v>52926</x:v>
      </x:c>
      <x:c r="G139" s="15" t="n">
        <x:v>3588</x:v>
      </x:c>
      <x:c r="H139" s="15" t="n">
        <x:v>49338</x:v>
      </x:c>
      <x:c r="I139" s="15" t="n">
        <x:v>23620</x:v>
      </x:c>
      <x:c r="J139" s="15" t="n">
        <x:v>11343</x:v>
      </x:c>
      <x:c r="K139" s="15" t="n">
        <x:v>47.87385</x:v>
      </x:c>
      <x:c r="L139" s="15" t="n">
        <x:v>22.990393</x:v>
      </x:c>
      <x:c r="M139" s="15" t="n">
        <x:v>6.779277</x:v>
      </x:c>
      <x:c r="N139" s="15" t="n">
        <x:v>52926</x:v>
      </x:c>
      <x:c r="O139" s="15" t="n">
        <x:v>2704</x:v>
      </x:c>
      <x:c r="P139" s="15" t="n">
        <x:v>2785</x:v>
      </x:c>
      <x:c r="Q139" s="15" t="n">
        <x:v>1000</x:v>
      </x:c>
      <x:c r="R139" s="15" t="n">
        <x:v>4812</x:v>
      </x:c>
      <x:c r="S139" s="15" t="n">
        <x:v>1121</x:v>
      </x:c>
      <x:c r="T139" s="15" t="n">
        <x:v>7147</x:v>
      </x:c>
      <x:c r="U139" s="15" t="n">
        <x:v>1477</x:v>
      </x:c>
      <x:c r="V139" s="15" t="n">
        <x:v>5165</x:v>
      </x:c>
      <x:c r="W139" s="15" t="n">
        <x:v>1244</x:v>
      </x:c>
      <x:c r="X139" s="15" t="n">
        <x:v>5809</x:v>
      </x:c>
      <x:c r="Y139" s="15" t="n">
        <x:v>1410</x:v>
      </x:c>
      <x:c r="Z139" s="15" t="n">
        <x:v>3947</x:v>
      </x:c>
      <x:c r="AA139" s="15" t="n">
        <x:v>1206</x:v>
      </x:c>
      <x:c r="AB139" s="15" t="n">
        <x:v>2919</x:v>
      </x:c>
      <x:c r="AC139" s="15" t="n">
        <x:v>934</x:v>
      </x:c>
      <x:c r="AD139" s="15" t="n">
        <x:v>5411</x:v>
      </x:c>
      <x:c r="AE139" s="15" t="n">
        <x:v>1714</x:v>
      </x:c>
      <x:c r="AF139" s="15" t="n">
        <x:v>11343</x:v>
      </x:c>
      <x:c r="AG139" s="15" t="n">
        <x:v>1905</x:v>
      </x:c>
      <x:c r="AH139" s="15" t="n">
        <x:v>3588</x:v>
      </x:c>
      <x:c r="AI139" s="15" t="n">
        <x:v>1297</x:v>
      </x:c>
    </x:row>
    <x:row r="140" ht="22" customHeight="1">
      <x:c r="A140" s="1" t="str">
        <x:v>310M700US23420</x:v>
      </x:c>
      <x:c r="B140" s="1" t="str">
        <x:v>23420</x:v>
      </x:c>
      <x:c r="C140" s="1" t="str">
        <x:v>Fresno, CA Metro Area</x:v>
      </x:c>
      <x:c r="D140" s="5" t="n">
        <x:v>2024</x:v>
      </x:c>
      <x:c r="E140" s="1" t="str">
        <x:v>ok</x:v>
      </x:c>
      <x:c r="F140" s="15" t="n">
        <x:v>159932</x:v>
      </x:c>
      <x:c r="G140" s="15" t="n">
        <x:v>9942</x:v>
      </x:c>
      <x:c r="H140" s="15" t="n">
        <x:v>149990</x:v>
      </x:c>
      <x:c r="I140" s="15" t="n">
        <x:v>87872</x:v>
      </x:c>
      <x:c r="J140" s="15" t="n">
        <x:v>48187</x:v>
      </x:c>
      <x:c r="K140" s="15" t="n">
        <x:v>58.585239</x:v>
      </x:c>
      <x:c r="L140" s="15" t="n">
        <x:v>32.126808</x:v>
      </x:c>
      <x:c r="M140" s="15" t="n">
        <x:v>6.216392</x:v>
      </x:c>
      <x:c r="N140" s="15" t="n">
        <x:v>159932</x:v>
      </x:c>
      <x:c r="O140" s="15" t="n">
        <x:v>5342</x:v>
      </x:c>
      <x:c r="P140" s="15" t="n">
        <x:v>5076</x:v>
      </x:c>
      <x:c r="Q140" s="15" t="n">
        <x:v>1352</x:v>
      </x:c>
      <x:c r="R140" s="15" t="n">
        <x:v>9195</x:v>
      </x:c>
      <x:c r="S140" s="15" t="n">
        <x:v>1622</x:v>
      </x:c>
      <x:c r="T140" s="15" t="n">
        <x:v>14223</x:v>
      </x:c>
      <x:c r="U140" s="15" t="n">
        <x:v>2584</x:v>
      </x:c>
      <x:c r="V140" s="15" t="n">
        <x:v>15905</x:v>
      </x:c>
      <x:c r="W140" s="15" t="n">
        <x:v>2437</x:v>
      </x:c>
      <x:c r="X140" s="15" t="n">
        <x:v>17719</x:v>
      </x:c>
      <x:c r="Y140" s="15" t="n">
        <x:v>2752</x:v>
      </x:c>
      <x:c r="Z140" s="15" t="n">
        <x:v>13426</x:v>
      </x:c>
      <x:c r="AA140" s="15" t="n">
        <x:v>2236</x:v>
      </x:c>
      <x:c r="AB140" s="15" t="n">
        <x:v>9185</x:v>
      </x:c>
      <x:c r="AC140" s="15" t="n">
        <x:v>1711</x:v>
      </x:c>
      <x:c r="AD140" s="15" t="n">
        <x:v>17074</x:v>
      </x:c>
      <x:c r="AE140" s="15" t="n">
        <x:v>2597</x:v>
      </x:c>
      <x:c r="AF140" s="15" t="n">
        <x:v>48187</x:v>
      </x:c>
      <x:c r="AG140" s="15" t="n">
        <x:v>4382</x:v>
      </x:c>
      <x:c r="AH140" s="15" t="n">
        <x:v>9942</x:v>
      </x:c>
      <x:c r="AI140" s="15" t="n">
        <x:v>1654</x:v>
      </x:c>
    </x:row>
    <x:row r="141" ht="22" customHeight="1">
      <x:c r="A141" s="1" t="str">
        <x:v>310M700US23460</x:v>
      </x:c>
      <x:c r="B141" s="1" t="str">
        <x:v>23460</x:v>
      </x:c>
      <x:c r="C141" s="1" t="str">
        <x:v>Gadsden, AL Metro Area</x:v>
      </x:c>
      <x:c r="D141" s="5" t="n">
        <x:v>2024</x:v>
      </x:c>
      <x:c r="E141" s="1" t="str">
        <x:v>ok</x:v>
      </x:c>
      <x:c r="F141" s="15" t="n">
        <x:v>10021</x:v>
      </x:c>
      <x:c r="G141" s="15" t="n">
        <x:v>1713</x:v>
      </x:c>
      <x:c r="H141" s="15" t="n">
        <x:v>8308</x:v>
      </x:c>
      <x:c r="I141" s="15" t="n">
        <x:v>3194</x:v>
      </x:c>
      <x:c r="J141" s="15" t="n">
        <x:v>1884</x:v>
      </x:c>
      <x:c r="K141" s="15" t="n">
        <x:v>38.444872</x:v>
      </x:c>
      <x:c r="L141" s="15" t="n">
        <x:v>22.676938</x:v>
      </x:c>
      <x:c r="M141" s="15" t="n">
        <x:v>17.094102</x:v>
      </x:c>
      <x:c r="N141" s="15" t="n">
        <x:v>10021</x:v>
      </x:c>
      <x:c r="O141" s="15" t="n">
        <x:v>1503</x:v>
      </x:c>
      <x:c r="P141" s="15" t="n">
        <x:v>626</x:v>
      </x:c>
      <x:c r="Q141" s="15" t="n">
        <x:v>371</x:v>
      </x:c>
      <x:c r="R141" s="15" t="n">
        <x:v>1219</x:v>
      </x:c>
      <x:c r="S141" s="15" t="n">
        <x:v>626</x:v>
      </x:c>
      <x:c r="T141" s="15" t="n">
        <x:v>2115</x:v>
      </x:c>
      <x:c r="U141" s="15" t="n">
        <x:v>1065</x:v>
      </x:c>
      <x:c r="V141" s="15" t="n">
        <x:v>456</x:v>
      </x:c>
      <x:c r="W141" s="15" t="n">
        <x:v>376</x:v>
      </x:c>
      <x:c r="X141" s="15" t="n">
        <x:v>698</x:v>
      </x:c>
      <x:c r="Y141" s="15" t="n">
        <x:v>401</x:v>
      </x:c>
      <x:c r="Z141" s="15" t="n">
        <x:v>536</x:v>
      </x:c>
      <x:c r="AA141" s="15" t="n">
        <x:v>355</x:v>
      </x:c>
      <x:c r="AB141" s="15" t="n">
        <x:v>355</x:v>
      </x:c>
      <x:c r="AC141" s="15" t="n">
        <x:v>323</x:v>
      </x:c>
      <x:c r="AD141" s="15" t="n">
        <x:v>419</x:v>
      </x:c>
      <x:c r="AE141" s="15" t="n">
        <x:v>382</x:v>
      </x:c>
      <x:c r="AF141" s="15" t="n">
        <x:v>1884</x:v>
      </x:c>
      <x:c r="AG141" s="15" t="n">
        <x:v>772</x:v>
      </x:c>
      <x:c r="AH141" s="15" t="n">
        <x:v>1713</x:v>
      </x:c>
      <x:c r="AI141" s="15" t="n">
        <x:v>714</x:v>
      </x:c>
    </x:row>
    <x:row r="142" ht="22" customHeight="1">
      <x:c r="A142" s="1" t="str">
        <x:v>310M700US23540</x:v>
      </x:c>
      <x:c r="B142" s="1" t="str">
        <x:v>23540</x:v>
      </x:c>
      <x:c r="C142" s="1" t="str">
        <x:v>Gainesville, FL Metro Area</x:v>
      </x:c>
      <x:c r="D142" s="5" t="n">
        <x:v>2024</x:v>
      </x:c>
      <x:c r="E142" s="1" t="str">
        <x:v>ok</x:v>
      </x:c>
      <x:c r="F142" s="15" t="n">
        <x:v>61718</x:v>
      </x:c>
      <x:c r="G142" s="15" t="n">
        <x:v>4079</x:v>
      </x:c>
      <x:c r="H142" s="15" t="n">
        <x:v>57639</x:v>
      </x:c>
      <x:c r="I142" s="15" t="n">
        <x:v>37474</x:v>
      </x:c>
      <x:c r="J142" s="15" t="n">
        <x:v>25234</x:v>
      </x:c>
      <x:c r="K142" s="15" t="n">
        <x:v>65.015007</x:v>
      </x:c>
      <x:c r="L142" s="15" t="n">
        <x:v>43.779385</x:v>
      </x:c>
      <x:c r="M142" s="15" t="n">
        <x:v>6.609093</x:v>
      </x:c>
      <x:c r="N142" s="15" t="n">
        <x:v>61718</x:v>
      </x:c>
      <x:c r="O142" s="15" t="n">
        <x:v>3182</x:v>
      </x:c>
      <x:c r="P142" s="15" t="n">
        <x:v>687</x:v>
      </x:c>
      <x:c r="Q142" s="15" t="n">
        <x:v>433</x:v>
      </x:c>
      <x:c r="R142" s="15" t="n">
        <x:v>3375</x:v>
      </x:c>
      <x:c r="S142" s="15" t="n">
        <x:v>1332</x:v>
      </x:c>
      <x:c r="T142" s="15" t="n">
        <x:v>4490</x:v>
      </x:c>
      <x:c r="U142" s="15" t="n">
        <x:v>1555</x:v>
      </x:c>
      <x:c r="V142" s="15" t="n">
        <x:v>5006</x:v>
      </x:c>
      <x:c r="W142" s="15" t="n">
        <x:v>1372</x:v>
      </x:c>
      <x:c r="X142" s="15" t="n">
        <x:v>6607</x:v>
      </x:c>
      <x:c r="Y142" s="15" t="n">
        <x:v>2293</x:v>
      </x:c>
      <x:c r="Z142" s="15" t="n">
        <x:v>3602</x:v>
      </x:c>
      <x:c r="AA142" s="15" t="n">
        <x:v>1261</x:v>
      </x:c>
      <x:c r="AB142" s="15" t="n">
        <x:v>2171</x:v>
      </x:c>
      <x:c r="AC142" s="15" t="n">
        <x:v>954</x:v>
      </x:c>
      <x:c r="AD142" s="15" t="n">
        <x:v>6467</x:v>
      </x:c>
      <x:c r="AE142" s="15" t="n">
        <x:v>2220</x:v>
      </x:c>
      <x:c r="AF142" s="15" t="n">
        <x:v>25234</x:v>
      </x:c>
      <x:c r="AG142" s="15" t="n">
        <x:v>2766</x:v>
      </x:c>
      <x:c r="AH142" s="15" t="n">
        <x:v>4079</x:v>
      </x:c>
      <x:c r="AI142" s="15" t="n">
        <x:v>1717</x:v>
      </x:c>
    </x:row>
    <x:row r="143" ht="22" customHeight="1">
      <x:c r="A143" s="1" t="str">
        <x:v>310M700US23580</x:v>
      </x:c>
      <x:c r="B143" s="1" t="str">
        <x:v>23580</x:v>
      </x:c>
      <x:c r="C143" s="1" t="str">
        <x:v>Gainesville, GA Metro Area</x:v>
      </x:c>
      <x:c r="D143" s="5" t="n">
        <x:v>2024</x:v>
      </x:c>
      <x:c r="E143" s="1" t="str">
        <x:v>ok</x:v>
      </x:c>
      <x:c r="F143" s="15" t="n">
        <x:v>23101</x:v>
      </x:c>
      <x:c r="G143" s="15" t="n">
        <x:v>1773</x:v>
      </x:c>
      <x:c r="H143" s="15" t="n">
        <x:v>21328</x:v>
      </x:c>
      <x:c r="I143" s="15" t="n">
        <x:v>11185</x:v>
      </x:c>
      <x:c r="J143" s="15" t="n">
        <x:v>4055</x:v>
      </x:c>
      <x:c r="K143" s="15" t="n">
        <x:v>52.442798</x:v>
      </x:c>
      <x:c r="L143" s="15" t="n">
        <x:v>19.012566</x:v>
      </x:c>
      <x:c r="M143" s="15" t="n">
        <x:v>7.674992</x:v>
      </x:c>
      <x:c r="N143" s="15" t="n">
        <x:v>23101</x:v>
      </x:c>
      <x:c r="O143" s="15" t="n">
        <x:v>2382</x:v>
      </x:c>
      <x:c r="P143" s="15" t="n">
        <x:v>114</x:v>
      </x:c>
      <x:c r="Q143" s="15" t="n">
        <x:v>141</x:v>
      </x:c>
      <x:c r="R143" s="15" t="n">
        <x:v>2876</x:v>
      </x:c>
      <x:c r="S143" s="15" t="n">
        <x:v>1203</x:v>
      </x:c>
      <x:c r="T143" s="15" t="n">
        <x:v>2484</x:v>
      </x:c>
      <x:c r="U143" s="15" t="n">
        <x:v>1116</x:v>
      </x:c>
      <x:c r="V143" s="15" t="n">
        <x:v>2221</x:v>
      </x:c>
      <x:c r="W143" s="15" t="n">
        <x:v>1096</x:v>
      </x:c>
      <x:c r="X143" s="15" t="n">
        <x:v>2448</x:v>
      </x:c>
      <x:c r="Y143" s="15" t="n">
        <x:v>1116</x:v>
      </x:c>
      <x:c r="Z143" s="15" t="n">
        <x:v>2140</x:v>
      </x:c>
      <x:c r="AA143" s="15" t="n">
        <x:v>892</x:v>
      </x:c>
      <x:c r="AB143" s="15" t="n">
        <x:v>2759</x:v>
      </x:c>
      <x:c r="AC143" s="15" t="n">
        <x:v>1092</x:v>
      </x:c>
      <x:c r="AD143" s="15" t="n">
        <x:v>2231</x:v>
      </x:c>
      <x:c r="AE143" s="15" t="n">
        <x:v>909</x:v>
      </x:c>
      <x:c r="AF143" s="15" t="n">
        <x:v>4055</x:v>
      </x:c>
      <x:c r="AG143" s="15" t="n">
        <x:v>1196</x:v>
      </x:c>
      <x:c r="AH143" s="15" t="n">
        <x:v>1773</x:v>
      </x:c>
      <x:c r="AI143" s="15" t="n">
        <x:v>720</x:v>
      </x:c>
    </x:row>
    <x:row r="144" ht="22" customHeight="1">
      <x:c r="A144" s="1" t="str">
        <x:v>310M700US23900</x:v>
      </x:c>
      <x:c r="B144" s="1" t="str">
        <x:v>23900</x:v>
      </x:c>
      <x:c r="C144" s="1" t="str">
        <x:v>Gettysburg, PA Metro Area</x:v>
      </x:c>
      <x:c r="D144" s="5" t="n">
        <x:v>2024</x:v>
      </x:c>
      <x:c r="E144" s="1" t="str">
        <x:v>ok</x:v>
      </x:c>
      <x:c r="F144" s="15" t="n">
        <x:v>9291</x:v>
      </x:c>
      <x:c r="G144" s="15" t="n">
        <x:v>386</x:v>
      </x:c>
      <x:c r="H144" s="15" t="n">
        <x:v>8905</x:v>
      </x:c>
      <x:c r="I144" s="15" t="n">
        <x:v>4344</x:v>
      </x:c>
      <x:c r="J144" s="15" t="n">
        <x:v>1577</x:v>
      </x:c>
      <x:c r="K144" s="15" t="n">
        <x:v>48.781583</x:v>
      </x:c>
      <x:c r="L144" s="15" t="n">
        <x:v>17.709152</x:v>
      </x:c>
      <x:c r="M144" s="15" t="n">
        <x:v>4.154558</x:v>
      </x:c>
      <x:c r="N144" s="15" t="n">
        <x:v>9291</x:v>
      </x:c>
      <x:c r="O144" s="15" t="n">
        <x:v>1419</x:v>
      </x:c>
      <x:c r="P144" s="15" t="n">
        <x:v>364</x:v>
      </x:c>
      <x:c r="Q144" s="15" t="n">
        <x:v>295</x:v>
      </x:c>
      <x:c r="R144" s="15" t="n">
        <x:v>843</x:v>
      </x:c>
      <x:c r="S144" s="15" t="n">
        <x:v>560</x:v>
      </x:c>
      <x:c r="T144" s="15" t="n">
        <x:v>734</x:v>
      </x:c>
      <x:c r="U144" s="15" t="n">
        <x:v>460</x:v>
      </x:c>
      <x:c r="V144" s="15" t="n">
        <x:v>1485</x:v>
      </x:c>
      <x:c r="W144" s="15" t="n">
        <x:v>569</x:v>
      </x:c>
      <x:c r="X144" s="15" t="n">
        <x:v>1135</x:v>
      </x:c>
      <x:c r="Y144" s="15" t="n">
        <x:v>554</x:v>
      </x:c>
      <x:c r="Z144" s="15" t="n">
        <x:v>1470</x:v>
      </x:c>
      <x:c r="AA144" s="15" t="n">
        <x:v>604</x:v>
      </x:c>
      <x:c r="AB144" s="15" t="n">
        <x:v>849</x:v>
      </x:c>
      <x:c r="AC144" s="15" t="n">
        <x:v>419</x:v>
      </x:c>
      <x:c r="AD144" s="15" t="n">
        <x:v>448</x:v>
      </x:c>
      <x:c r="AE144" s="15" t="n">
        <x:v>231</x:v>
      </x:c>
      <x:c r="AF144" s="15" t="n">
        <x:v>1577</x:v>
      </x:c>
      <x:c r="AG144" s="15" t="n">
        <x:v>715</x:v>
      </x:c>
      <x:c r="AH144" s="15" t="n">
        <x:v>386</x:v>
      </x:c>
      <x:c r="AI144" s="15" t="n">
        <x:v>235</x:v>
      </x:c>
    </x:row>
    <x:row r="145" ht="22" customHeight="1">
      <x:c r="A145" s="1" t="str">
        <x:v>310M700US24020</x:v>
      </x:c>
      <x:c r="B145" s="1" t="str">
        <x:v>24020</x:v>
      </x:c>
      <x:c r="C145" s="1" t="str">
        <x:v>Glens Falls, NY Metro Area</x:v>
      </x:c>
      <x:c r="D145" s="5" t="n">
        <x:v>2024</x:v>
      </x:c>
      <x:c r="E145" s="1" t="str">
        <x:v>ok</x:v>
      </x:c>
      <x:c r="F145" s="15" t="n">
        <x:v>14263</x:v>
      </x:c>
      <x:c r="G145" s="15" t="n">
        <x:v>637</x:v>
      </x:c>
      <x:c r="H145" s="15" t="n">
        <x:v>13626</x:v>
      </x:c>
      <x:c r="I145" s="15" t="n">
        <x:v>7145</x:v>
      </x:c>
      <x:c r="J145" s="15" t="n">
        <x:v>3692</x:v>
      </x:c>
      <x:c r="K145" s="15" t="n">
        <x:v>52.436518</x:v>
      </x:c>
      <x:c r="L145" s="15" t="n">
        <x:v>27.095259</x:v>
      </x:c>
      <x:c r="M145" s="15" t="n">
        <x:v>4.466101</x:v>
      </x:c>
      <x:c r="N145" s="15" t="n">
        <x:v>14263</x:v>
      </x:c>
      <x:c r="O145" s="15" t="n">
        <x:v>1563</x:v>
      </x:c>
      <x:c r="P145" s="15" t="n">
        <x:v>276</x:v>
      </x:c>
      <x:c r="Q145" s="15" t="n">
        <x:v>183</x:v>
      </x:c>
      <x:c r="R145" s="15" t="n">
        <x:v>1090</x:v>
      </x:c>
      <x:c r="S145" s="15" t="n">
        <x:v>405</x:v>
      </x:c>
      <x:c r="T145" s="15" t="n">
        <x:v>1654</x:v>
      </x:c>
      <x:c r="U145" s="15" t="n">
        <x:v>641</x:v>
      </x:c>
      <x:c r="V145" s="15" t="n">
        <x:v>1863</x:v>
      </x:c>
      <x:c r="W145" s="15" t="n">
        <x:v>704</x:v>
      </x:c>
      <x:c r="X145" s="15" t="n">
        <x:v>1598</x:v>
      </x:c>
      <x:c r="Y145" s="15" t="n">
        <x:v>561</x:v>
      </x:c>
      <x:c r="Z145" s="15" t="n">
        <x:v>1390</x:v>
      </x:c>
      <x:c r="AA145" s="15" t="n">
        <x:v>502</x:v>
      </x:c>
      <x:c r="AB145" s="15" t="n">
        <x:v>524</x:v>
      </x:c>
      <x:c r="AC145" s="15" t="n">
        <x:v>327</x:v>
      </x:c>
      <x:c r="AD145" s="15" t="n">
        <x:v>1539</x:v>
      </x:c>
      <x:c r="AE145" s="15" t="n">
        <x:v>573</x:v>
      </x:c>
      <x:c r="AF145" s="15" t="n">
        <x:v>3692</x:v>
      </x:c>
      <x:c r="AG145" s="15" t="n">
        <x:v>1106</x:v>
      </x:c>
      <x:c r="AH145" s="15" t="n">
        <x:v>637</x:v>
      </x:c>
      <x:c r="AI145" s="15" t="n">
        <x:v>365</x:v>
      </x:c>
    </x:row>
    <x:row r="146" ht="22" customHeight="1">
      <x:c r="A146" s="1" t="str">
        <x:v>310M700US24140</x:v>
      </x:c>
      <x:c r="B146" s="1" t="str">
        <x:v>24140</x:v>
      </x:c>
      <x:c r="C146" s="1" t="str">
        <x:v>Goldsboro, NC Metro Area</x:v>
      </x:c>
      <x:c r="D146" s="5" t="n">
        <x:v>2024</x:v>
      </x:c>
      <x:c r="E146" s="1" t="str">
        <x:v>ok</x:v>
      </x:c>
      <x:c r="F146" s="15" t="n">
        <x:v>19854</x:v>
      </x:c>
      <x:c r="G146" s="15" t="n">
        <x:v>1155</x:v>
      </x:c>
      <x:c r="H146" s="15" t="n">
        <x:v>18699</x:v>
      </x:c>
      <x:c r="I146" s="15" t="n">
        <x:v>9342</x:v>
      </x:c>
      <x:c r="J146" s="15" t="n">
        <x:v>5005</x:v>
      </x:c>
      <x:c r="K146" s="15" t="n">
        <x:v>49.959891</x:v>
      </x:c>
      <x:c r="L146" s="15" t="n">
        <x:v>26.766137</x:v>
      </x:c>
      <x:c r="M146" s="15" t="n">
        <x:v>5.817468</x:v>
      </x:c>
      <x:c r="N146" s="15" t="n">
        <x:v>19854</x:v>
      </x:c>
      <x:c r="O146" s="15" t="n">
        <x:v>1982</x:v>
      </x:c>
      <x:c r="P146" s="15" t="n">
        <x:v>252</x:v>
      </x:c>
      <x:c r="Q146" s="15" t="n">
        <x:v>258</x:v>
      </x:c>
      <x:c r="R146" s="15" t="n">
        <x:v>1359</x:v>
      </x:c>
      <x:c r="S146" s="15" t="n">
        <x:v>646</x:v>
      </x:c>
      <x:c r="T146" s="15" t="n">
        <x:v>2926</x:v>
      </x:c>
      <x:c r="U146" s="15" t="n">
        <x:v>1048</x:v>
      </x:c>
      <x:c r="V146" s="15" t="n">
        <x:v>2679</x:v>
      </x:c>
      <x:c r="W146" s="15" t="n">
        <x:v>1189</x:v>
      </x:c>
      <x:c r="X146" s="15" t="n">
        <x:v>2141</x:v>
      </x:c>
      <x:c r="Y146" s="15" t="n">
        <x:v>989</x:v>
      </x:c>
      <x:c r="Z146" s="15" t="n">
        <x:v>2175</x:v>
      </x:c>
      <x:c r="AA146" s="15" t="n">
        <x:v>910</x:v>
      </x:c>
      <x:c r="AB146" s="15" t="n">
        <x:v>1269</x:v>
      </x:c>
      <x:c r="AC146" s="15" t="n">
        <x:v>680</x:v>
      </x:c>
      <x:c r="AD146" s="15" t="n">
        <x:v>893</x:v>
      </x:c>
      <x:c r="AE146" s="15" t="n">
        <x:v>685</x:v>
      </x:c>
      <x:c r="AF146" s="15" t="n">
        <x:v>5005</x:v>
      </x:c>
      <x:c r="AG146" s="15" t="n">
        <x:v>1318</x:v>
      </x:c>
      <x:c r="AH146" s="15" t="n">
        <x:v>1155</x:v>
      </x:c>
      <x:c r="AI146" s="15" t="n">
        <x:v>561</x:v>
      </x:c>
    </x:row>
    <x:row r="147" ht="22" customHeight="1">
      <x:c r="A147" s="1" t="str">
        <x:v>310M700US24220</x:v>
      </x:c>
      <x:c r="B147" s="1" t="str">
        <x:v>24220</x:v>
      </x:c>
      <x:c r="C147" s="1" t="str">
        <x:v>Grand Forks, ND-MN Metro Area</x:v>
      </x:c>
      <x:c r="D147" s="5" t="n">
        <x:v>2024</x:v>
      </x:c>
      <x:c r="E147" s="1" t="str">
        <x:v>ok</x:v>
      </x:c>
      <x:c r="F147" s="15" t="n">
        <x:v>20928</x:v>
      </x:c>
      <x:c r="G147" s="15" t="n">
        <x:v>1161</x:v>
      </x:c>
      <x:c r="H147" s="15" t="n">
        <x:v>19767</x:v>
      </x:c>
      <x:c r="I147" s="15" t="n">
        <x:v>8250</x:v>
      </x:c>
      <x:c r="J147" s="15" t="n">
        <x:v>4464</x:v>
      </x:c>
      <x:c r="K147" s="15" t="n">
        <x:v>41.736227</x:v>
      </x:c>
      <x:c r="L147" s="15" t="n">
        <x:v>22.583093</x:v>
      </x:c>
      <x:c r="M147" s="15" t="n">
        <x:v>5.547592</x:v>
      </x:c>
      <x:c r="N147" s="15" t="n">
        <x:v>20928</x:v>
      </x:c>
      <x:c r="O147" s="15" t="n">
        <x:v>1513</x:v>
      </x:c>
      <x:c r="P147" s="15" t="n">
        <x:v>993</x:v>
      </x:c>
      <x:c r="Q147" s="15" t="n">
        <x:v>450</x:v>
      </x:c>
      <x:c r="R147" s="15" t="n">
        <x:v>1728</x:v>
      </x:c>
      <x:c r="S147" s="15" t="n">
        <x:v>640</x:v>
      </x:c>
      <x:c r="T147" s="15" t="n">
        <x:v>3704</x:v>
      </x:c>
      <x:c r="U147" s="15" t="n">
        <x:v>1191</x:v>
      </x:c>
      <x:c r="V147" s="15" t="n">
        <x:v>3039</x:v>
      </x:c>
      <x:c r="W147" s="15" t="n">
        <x:v>872</x:v>
      </x:c>
      <x:c r="X147" s="15" t="n">
        <x:v>2053</x:v>
      </x:c>
      <x:c r="Y147" s="15" t="n">
        <x:v>779</x:v>
      </x:c>
      <x:c r="Z147" s="15" t="n">
        <x:v>1469</x:v>
      </x:c>
      <x:c r="AA147" s="15" t="n">
        <x:v>664</x:v>
      </x:c>
      <x:c r="AB147" s="15" t="n">
        <x:v>734</x:v>
      </x:c>
      <x:c r="AC147" s="15" t="n">
        <x:v>436</x:v>
      </x:c>
      <x:c r="AD147" s="15" t="n">
        <x:v>1583</x:v>
      </x:c>
      <x:c r="AE147" s="15" t="n">
        <x:v>644</x:v>
      </x:c>
      <x:c r="AF147" s="15" t="n">
        <x:v>4464</x:v>
      </x:c>
      <x:c r="AG147" s="15" t="n">
        <x:v>1080</x:v>
      </x:c>
      <x:c r="AH147" s="15" t="n">
        <x:v>1161</x:v>
      </x:c>
      <x:c r="AI147" s="15" t="n">
        <x:v>725</x:v>
      </x:c>
    </x:row>
    <x:row r="148" ht="22" customHeight="1">
      <x:c r="A148" s="1" t="str">
        <x:v>310M700US24260</x:v>
      </x:c>
      <x:c r="B148" s="1" t="str">
        <x:v>24260</x:v>
      </x:c>
      <x:c r="C148" s="1" t="str">
        <x:v>Grand Island, NE Metro Area</x:v>
      </x:c>
      <x:c r="D148" s="5" t="n">
        <x:v>2024</x:v>
      </x:c>
      <x:c r="E148" s="1" t="str">
        <x:v>ok</x:v>
      </x:c>
      <x:c r="F148" s="15" t="n">
        <x:v>11306</x:v>
      </x:c>
      <x:c r="G148" s="15" t="n">
        <x:v>449</x:v>
      </x:c>
      <x:c r="H148" s="15" t="n">
        <x:v>10857</x:v>
      </x:c>
      <x:c r="I148" s="15" t="n">
        <x:v>5570</x:v>
      </x:c>
      <x:c r="J148" s="15" t="n">
        <x:v>2693</x:v>
      </x:c>
      <x:c r="K148" s="15" t="n">
        <x:v>51.303307</x:v>
      </x:c>
      <x:c r="L148" s="15" t="n">
        <x:v>24.804274</x:v>
      </x:c>
      <x:c r="M148" s="15" t="n">
        <x:v>3.971343</x:v>
      </x:c>
      <x:c r="N148" s="15" t="n">
        <x:v>11306</x:v>
      </x:c>
      <x:c r="O148" s="15" t="n">
        <x:v>1292</x:v>
      </x:c>
      <x:c r="P148" s="15" t="n">
        <x:v>964</x:v>
      </x:c>
      <x:c r="Q148" s="15" t="n">
        <x:v>734</x:v>
      </x:c>
      <x:c r="R148" s="15" t="n">
        <x:v>1313</x:v>
      </x:c>
      <x:c r="S148" s="15" t="n">
        <x:v>843</x:v>
      </x:c>
      <x:c r="T148" s="15" t="n">
        <x:v>1444</x:v>
      </x:c>
      <x:c r="U148" s="15" t="n">
        <x:v>834</x:v>
      </x:c>
      <x:c r="V148" s="15" t="n">
        <x:v>444</x:v>
      </x:c>
      <x:c r="W148" s="15" t="n">
        <x:v>355</x:v>
      </x:c>
      <x:c r="X148" s="15" t="n">
        <x:v>1122</x:v>
      </x:c>
      <x:c r="Y148" s="15" t="n">
        <x:v>646</x:v>
      </x:c>
      <x:c r="Z148" s="15" t="n">
        <x:v>702</x:v>
      </x:c>
      <x:c r="AA148" s="15" t="n">
        <x:v>487</x:v>
      </x:c>
      <x:c r="AB148" s="15" t="n">
        <x:v>337</x:v>
      </x:c>
      <x:c r="AC148" s="15" t="n">
        <x:v>375</x:v>
      </x:c>
      <x:c r="AD148" s="15" t="n">
        <x:v>1838</x:v>
      </x:c>
      <x:c r="AE148" s="15" t="n">
        <x:v>874</x:v>
      </x:c>
      <x:c r="AF148" s="15" t="n">
        <x:v>2693</x:v>
      </x:c>
      <x:c r="AG148" s="15" t="n">
        <x:v>996</x:v>
      </x:c>
      <x:c r="AH148" s="15" t="n">
        <x:v>449</x:v>
      </x:c>
      <x:c r="AI148" s="15" t="n">
        <x:v>305</x:v>
      </x:c>
    </x:row>
    <x:row r="149" ht="22" customHeight="1">
      <x:c r="A149" s="1" t="str">
        <x:v>310M700US24300</x:v>
      </x:c>
      <x:c r="B149" s="1" t="str">
        <x:v>24300</x:v>
      </x:c>
      <x:c r="C149" s="1" t="str">
        <x:v>Grand Junction, CO Metro Area</x:v>
      </x:c>
      <x:c r="D149" s="5" t="n">
        <x:v>2024</x:v>
      </x:c>
      <x:c r="E149" s="1" t="str">
        <x:v>ok</x:v>
      </x:c>
      <x:c r="F149" s="15" t="n">
        <x:v>17320</x:v>
      </x:c>
      <x:c r="G149" s="15" t="n">
        <x:v>2338</x:v>
      </x:c>
      <x:c r="H149" s="15" t="n">
        <x:v>14982</x:v>
      </x:c>
      <x:c r="I149" s="15" t="n">
        <x:v>7755</x:v>
      </x:c>
      <x:c r="J149" s="15" t="n">
        <x:v>4845</x:v>
      </x:c>
      <x:c r="K149" s="15" t="n">
        <x:v>51.762115</x:v>
      </x:c>
      <x:c r="L149" s="15" t="n">
        <x:v>32.338807</x:v>
      </x:c>
      <x:c r="M149" s="15" t="n">
        <x:v>13.498845</x:v>
      </x:c>
      <x:c r="N149" s="15" t="n">
        <x:v>17320</x:v>
      </x:c>
      <x:c r="O149" s="15" t="n">
        <x:v>1920</x:v>
      </x:c>
      <x:c r="P149" s="15" t="n">
        <x:v>357</x:v>
      </x:c>
      <x:c r="Q149" s="15" t="n">
        <x:v>235</x:v>
      </x:c>
      <x:c r="R149" s="15" t="n">
        <x:v>1050</x:v>
      </x:c>
      <x:c r="S149" s="15" t="n">
        <x:v>543</x:v>
      </x:c>
      <x:c r="T149" s="15" t="n">
        <x:v>1297</x:v>
      </x:c>
      <x:c r="U149" s="15" t="n">
        <x:v>544</x:v>
      </x:c>
      <x:c r="V149" s="15" t="n">
        <x:v>2894</x:v>
      </x:c>
      <x:c r="W149" s="15" t="n">
        <x:v>1130</x:v>
      </x:c>
      <x:c r="X149" s="15" t="n">
        <x:v>1629</x:v>
      </x:c>
      <x:c r="Y149" s="15" t="n">
        <x:v>693</x:v>
      </x:c>
      <x:c r="Z149" s="15" t="n">
        <x:v>1483</x:v>
      </x:c>
      <x:c r="AA149" s="15" t="n">
        <x:v>765</x:v>
      </x:c>
      <x:c r="AB149" s="15" t="n">
        <x:v>703</x:v>
      </x:c>
      <x:c r="AC149" s="15" t="n">
        <x:v>587</x:v>
      </x:c>
      <x:c r="AD149" s="15" t="n">
        <x:v>724</x:v>
      </x:c>
      <x:c r="AE149" s="15" t="n">
        <x:v>497</x:v>
      </x:c>
      <x:c r="AF149" s="15" t="n">
        <x:v>4845</x:v>
      </x:c>
      <x:c r="AG149" s="15" t="n">
        <x:v>1366</x:v>
      </x:c>
      <x:c r="AH149" s="15" t="n">
        <x:v>2338</x:v>
      </x:c>
      <x:c r="AI149" s="15" t="n">
        <x:v>933</x:v>
      </x:c>
    </x:row>
    <x:row r="150" ht="22" customHeight="1">
      <x:c r="A150" s="1" t="str">
        <x:v>310M700US24340</x:v>
      </x:c>
      <x:c r="B150" s="1" t="str">
        <x:v>24340</x:v>
      </x:c>
      <x:c r="C150" s="1" t="str">
        <x:v>Grand Rapids-Wyoming-Kentwood, MI Metro Area</x:v>
      </x:c>
      <x:c r="D150" s="5" t="n">
        <x:v>2024</x:v>
      </x:c>
      <x:c r="E150" s="1" t="str">
        <x:v>ok</x:v>
      </x:c>
      <x:c r="F150" s="15" t="n">
        <x:v>112730</x:v>
      </x:c>
      <x:c r="G150" s="15" t="n">
        <x:v>5209</x:v>
      </x:c>
      <x:c r="H150" s="15" t="n">
        <x:v>107521</x:v>
      </x:c>
      <x:c r="I150" s="15" t="n">
        <x:v>52723</x:v>
      </x:c>
      <x:c r="J150" s="15" t="n">
        <x:v>23295</x:v>
      </x:c>
      <x:c r="K150" s="15" t="n">
        <x:v>49.035072</x:v>
      </x:c>
      <x:c r="L150" s="15" t="n">
        <x:v>21.665535</x:v>
      </x:c>
      <x:c r="M150" s="15" t="n">
        <x:v>4.620775</x:v>
      </x:c>
      <x:c r="N150" s="15" t="n">
        <x:v>112730</x:v>
      </x:c>
      <x:c r="O150" s="15" t="n">
        <x:v>5068</x:v>
      </x:c>
      <x:c r="P150" s="15" t="n">
        <x:v>3766</x:v>
      </x:c>
      <x:c r="Q150" s="15" t="n">
        <x:v>994</x:v>
      </x:c>
      <x:c r="R150" s="15" t="n">
        <x:v>8850</x:v>
      </x:c>
      <x:c r="S150" s="15" t="n">
        <x:v>1814</x:v>
      </x:c>
      <x:c r="T150" s="15" t="n">
        <x:v>11907</x:v>
      </x:c>
      <x:c r="U150" s="15" t="n">
        <x:v>1855</x:v>
      </x:c>
      <x:c r="V150" s="15" t="n">
        <x:v>15537</x:v>
      </x:c>
      <x:c r="W150" s="15" t="n">
        <x:v>2214</x:v>
      </x:c>
      <x:c r="X150" s="15" t="n">
        <x:v>14738</x:v>
      </x:c>
      <x:c r="Y150" s="15" t="n">
        <x:v>2295</x:v>
      </x:c>
      <x:c r="Z150" s="15" t="n">
        <x:v>11910</x:v>
      </x:c>
      <x:c r="AA150" s="15" t="n">
        <x:v>2289</x:v>
      </x:c>
      <x:c r="AB150" s="15" t="n">
        <x:v>8760</x:v>
      </x:c>
      <x:c r="AC150" s="15" t="n">
        <x:v>1956</x:v>
      </x:c>
      <x:c r="AD150" s="15" t="n">
        <x:v>8758</x:v>
      </x:c>
      <x:c r="AE150" s="15" t="n">
        <x:v>2044</x:v>
      </x:c>
      <x:c r="AF150" s="15" t="n">
        <x:v>23295</x:v>
      </x:c>
      <x:c r="AG150" s="15" t="n">
        <x:v>3098</x:v>
      </x:c>
      <x:c r="AH150" s="15" t="n">
        <x:v>5209</x:v>
      </x:c>
      <x:c r="AI150" s="15" t="n">
        <x:v>1464</x:v>
      </x:c>
    </x:row>
    <x:row r="151" ht="22" customHeight="1">
      <x:c r="A151" s="1" t="str">
        <x:v>310M700US24420</x:v>
      </x:c>
      <x:c r="B151" s="1" t="str">
        <x:v>24420</x:v>
      </x:c>
      <x:c r="C151" s="1" t="str">
        <x:v>Grants Pass, OR Metro Area</x:v>
      </x:c>
      <x:c r="D151" s="5" t="n">
        <x:v>2024</x:v>
      </x:c>
      <x:c r="E151" s="1" t="str">
        <x:v>ok</x:v>
      </x:c>
      <x:c r="F151" s="15" t="n">
        <x:v>11400</x:v>
      </x:c>
      <x:c r="G151" s="15" t="n">
        <x:v>714</x:v>
      </x:c>
      <x:c r="H151" s="15" t="n">
        <x:v>10686</x:v>
      </x:c>
      <x:c r="I151" s="15" t="n">
        <x:v>4687</x:v>
      </x:c>
      <x:c r="J151" s="15" t="n">
        <x:v>2955</x:v>
      </x:c>
      <x:c r="K151" s="15" t="n">
        <x:v>43.861127</x:v>
      </x:c>
      <x:c r="L151" s="15" t="n">
        <x:v>27.653004</x:v>
      </x:c>
      <x:c r="M151" s="15" t="n">
        <x:v>6.263158</x:v>
      </x:c>
      <x:c r="N151" s="15" t="n">
        <x:v>11400</x:v>
      </x:c>
      <x:c r="O151" s="15" t="n">
        <x:v>1836</x:v>
      </x:c>
      <x:c r="P151" s="15" t="n">
        <x:v>118</x:v>
      </x:c>
      <x:c r="Q151" s="15" t="n">
        <x:v>214</x:v>
      </x:c>
      <x:c r="R151" s="15" t="n">
        <x:v>852</x:v>
      </x:c>
      <x:c r="S151" s="15" t="n">
        <x:v>597</x:v>
      </x:c>
      <x:c r="T151" s="15" t="n">
        <x:v>2039</x:v>
      </x:c>
      <x:c r="U151" s="15" t="n">
        <x:v>1031</x:v>
      </x:c>
      <x:c r="V151" s="15" t="n">
        <x:v>1743</x:v>
      </x:c>
      <x:c r="W151" s="15" t="n">
        <x:v>769</x:v>
      </x:c>
      <x:c r="X151" s="15" t="n">
        <x:v>1247</x:v>
      </x:c>
      <x:c r="Y151" s="15" t="n">
        <x:v>756</x:v>
      </x:c>
      <x:c r="Z151" s="15" t="n">
        <x:v>935</x:v>
      </x:c>
      <x:c r="AA151" s="15" t="n">
        <x:v>669</x:v>
      </x:c>
      <x:c r="AB151" s="15" t="n">
        <x:v>346</x:v>
      </x:c>
      <x:c r="AC151" s="15" t="n">
        <x:v>267</x:v>
      </x:c>
      <x:c r="AD151" s="15" t="n">
        <x:v>451</x:v>
      </x:c>
      <x:c r="AE151" s="15" t="n">
        <x:v>309</x:v>
      </x:c>
      <x:c r="AF151" s="15" t="n">
        <x:v>2955</x:v>
      </x:c>
      <x:c r="AG151" s="15" t="n">
        <x:v>1373</x:v>
      </x:c>
      <x:c r="AH151" s="15" t="n">
        <x:v>714</x:v>
      </x:c>
      <x:c r="AI151" s="15" t="n">
        <x:v>575</x:v>
      </x:c>
    </x:row>
    <x:row r="152" ht="22" customHeight="1">
      <x:c r="A152" s="1" t="str">
        <x:v>310M700US24500</x:v>
      </x:c>
      <x:c r="B152" s="1" t="str">
        <x:v>24500</x:v>
      </x:c>
      <x:c r="C152" s="1" t="str">
        <x:v>Great Falls, MT Metro Area</x:v>
      </x:c>
      <x:c r="D152" s="5" t="n">
        <x:v>2024</x:v>
      </x:c>
      <x:c r="E152" s="1" t="str">
        <x:v>ok</x:v>
      </x:c>
      <x:c r="F152" s="15" t="n">
        <x:v>12698</x:v>
      </x:c>
      <x:c r="G152" s="15" t="n">
        <x:v>930</x:v>
      </x:c>
      <x:c r="H152" s="15" t="n">
        <x:v>11768</x:v>
      </x:c>
      <x:c r="I152" s="15" t="n">
        <x:v>4852</x:v>
      </x:c>
      <x:c r="J152" s="15" t="n">
        <x:v>2046</x:v>
      </x:c>
      <x:c r="K152" s="15" t="n">
        <x:v>41.230455</x:v>
      </x:c>
      <x:c r="L152" s="15" t="n">
        <x:v>17.386132</x:v>
      </x:c>
      <x:c r="M152" s="15" t="n">
        <x:v>7.323988</x:v>
      </x:c>
      <x:c r="N152" s="15" t="n">
        <x:v>12698</x:v>
      </x:c>
      <x:c r="O152" s="15" t="n">
        <x:v>1384</x:v>
      </x:c>
      <x:c r="P152" s="15" t="n">
        <x:v>629</x:v>
      </x:c>
      <x:c r="Q152" s="15" t="n">
        <x:v>477</x:v>
      </x:c>
      <x:c r="R152" s="15" t="n">
        <x:v>1289</x:v>
      </x:c>
      <x:c r="S152" s="15" t="n">
        <x:v>600</x:v>
      </x:c>
      <x:c r="T152" s="15" t="n">
        <x:v>2025</x:v>
      </x:c>
      <x:c r="U152" s="15" t="n">
        <x:v>692</x:v>
      </x:c>
      <x:c r="V152" s="15" t="n">
        <x:v>1760</x:v>
      </x:c>
      <x:c r="W152" s="15" t="n">
        <x:v>649</x:v>
      </x:c>
      <x:c r="X152" s="15" t="n">
        <x:v>1213</x:v>
      </x:c>
      <x:c r="Y152" s="15" t="n">
        <x:v>721</x:v>
      </x:c>
      <x:c r="Z152" s="15" t="n">
        <x:v>1383</x:v>
      </x:c>
      <x:c r="AA152" s="15" t="n">
        <x:v>630</x:v>
      </x:c>
      <x:c r="AB152" s="15" t="n">
        <x:v>1050</x:v>
      </x:c>
      <x:c r="AC152" s="15" t="n">
        <x:v>686</x:v>
      </x:c>
      <x:c r="AD152" s="15" t="n">
        <x:v>373</x:v>
      </x:c>
      <x:c r="AE152" s="15" t="n">
        <x:v>378</x:v>
      </x:c>
      <x:c r="AF152" s="15" t="n">
        <x:v>2046</x:v>
      </x:c>
      <x:c r="AG152" s="15" t="n">
        <x:v>806</x:v>
      </x:c>
      <x:c r="AH152" s="15" t="n">
        <x:v>930</x:v>
      </x:c>
      <x:c r="AI152" s="15" t="n">
        <x:v>394</x:v>
      </x:c>
    </x:row>
    <x:row r="153" ht="22" customHeight="1">
      <x:c r="A153" s="1" t="str">
        <x:v>310M700US24540</x:v>
      </x:c>
      <x:c r="B153" s="1" t="str">
        <x:v>24540</x:v>
      </x:c>
      <x:c r="C153" s="1" t="str">
        <x:v>Greeley, CO Metro Area</x:v>
      </x:c>
      <x:c r="D153" s="5" t="n">
        <x:v>2024</x:v>
      </x:c>
      <x:c r="E153" s="1" t="str">
        <x:v>ok</x:v>
      </x:c>
      <x:c r="F153" s="15" t="n">
        <x:v>31178</x:v>
      </x:c>
      <x:c r="G153" s="15" t="n">
        <x:v>1440</x:v>
      </x:c>
      <x:c r="H153" s="15" t="n">
        <x:v>29738</x:v>
      </x:c>
      <x:c r="I153" s="15" t="n">
        <x:v>15573</x:v>
      </x:c>
      <x:c r="J153" s="15" t="n">
        <x:v>7719</x:v>
      </x:c>
      <x:c r="K153" s="15" t="n">
        <x:v>52.367341</x:v>
      </x:c>
      <x:c r="L153" s="15" t="n">
        <x:v>25.956688</x:v>
      </x:c>
      <x:c r="M153" s="15" t="n">
        <x:v>4.618641</x:v>
      </x:c>
      <x:c r="N153" s="15" t="n">
        <x:v>31178</x:v>
      </x:c>
      <x:c r="O153" s="15" t="n">
        <x:v>2911</x:v>
      </x:c>
      <x:c r="P153" s="15" t="n">
        <x:v>1029</x:v>
      </x:c>
      <x:c r="Q153" s="15" t="n">
        <x:v>607</x:v>
      </x:c>
      <x:c r="R153" s="15" t="n">
        <x:v>1232</x:v>
      </x:c>
      <x:c r="S153" s="15" t="n">
        <x:v>633</x:v>
      </x:c>
      <x:c r="T153" s="15" t="n">
        <x:v>2996</x:v>
      </x:c>
      <x:c r="U153" s="15" t="n">
        <x:v>1098</x:v>
      </x:c>
      <x:c r="V153" s="15" t="n">
        <x:v>4344</x:v>
      </x:c>
      <x:c r="W153" s="15" t="n">
        <x:v>1257</x:v>
      </x:c>
      <x:c r="X153" s="15" t="n">
        <x:v>4564</x:v>
      </x:c>
      <x:c r="Y153" s="15" t="n">
        <x:v>1398</x:v>
      </x:c>
      <x:c r="Z153" s="15" t="n">
        <x:v>2903</x:v>
      </x:c>
      <x:c r="AA153" s="15" t="n">
        <x:v>1200</x:v>
      </x:c>
      <x:c r="AB153" s="15" t="n">
        <x:v>2076</x:v>
      </x:c>
      <x:c r="AC153" s="15" t="n">
        <x:v>1044</x:v>
      </x:c>
      <x:c r="AD153" s="15" t="n">
        <x:v>2875</x:v>
      </x:c>
      <x:c r="AE153" s="15" t="n">
        <x:v>1225</x:v>
      </x:c>
      <x:c r="AF153" s="15" t="n">
        <x:v>7719</x:v>
      </x:c>
      <x:c r="AG153" s="15" t="n">
        <x:v>1435</x:v>
      </x:c>
      <x:c r="AH153" s="15" t="n">
        <x:v>1440</x:v>
      </x:c>
      <x:c r="AI153" s="15" t="n">
        <x:v>559</x:v>
      </x:c>
    </x:row>
    <x:row r="154" ht="22" customHeight="1">
      <x:c r="A154" s="1" t="str">
        <x:v>310M700US24580</x:v>
      </x:c>
      <x:c r="B154" s="1" t="str">
        <x:v>24580</x:v>
      </x:c>
      <x:c r="C154" s="1" t="str">
        <x:v>Green Bay, WI Metro Area</x:v>
      </x:c>
      <x:c r="D154" s="5" t="n">
        <x:v>2024</x:v>
      </x:c>
      <x:c r="E154" s="1" t="str">
        <x:v>ok</x:v>
      </x:c>
      <x:c r="F154" s="15" t="n">
        <x:v>37048</x:v>
      </x:c>
      <x:c r="G154" s="15" t="n">
        <x:v>1990</x:v>
      </x:c>
      <x:c r="H154" s="15" t="n">
        <x:v>35058</x:v>
      </x:c>
      <x:c r="I154" s="15" t="n">
        <x:v>15397</x:v>
      </x:c>
      <x:c r="J154" s="15" t="n">
        <x:v>6654</x:v>
      </x:c>
      <x:c r="K154" s="15" t="n">
        <x:v>43.918649</x:v>
      </x:c>
      <x:c r="L154" s="15" t="n">
        <x:v>18.979976</x:v>
      </x:c>
      <x:c r="M154" s="15" t="n">
        <x:v>5.37141</x:v>
      </x:c>
      <x:c r="N154" s="15" t="n">
        <x:v>37048</x:v>
      </x:c>
      <x:c r="O154" s="15" t="n">
        <x:v>2672</x:v>
      </x:c>
      <x:c r="P154" s="15" t="n">
        <x:v>1023</x:v>
      </x:c>
      <x:c r="Q154" s="15" t="n">
        <x:v>416</x:v>
      </x:c>
      <x:c r="R154" s="15" t="n">
        <x:v>3484</x:v>
      </x:c>
      <x:c r="S154" s="15" t="n">
        <x:v>948</x:v>
      </x:c>
      <x:c r="T154" s="15" t="n">
        <x:v>7036</x:v>
      </x:c>
      <x:c r="U154" s="15" t="n">
        <x:v>1101</x:v>
      </x:c>
      <x:c r="V154" s="15" t="n">
        <x:v>5112</x:v>
      </x:c>
      <x:c r="W154" s="15" t="n">
        <x:v>1038</x:v>
      </x:c>
      <x:c r="X154" s="15" t="n">
        <x:v>3006</x:v>
      </x:c>
      <x:c r="Y154" s="15" t="n">
        <x:v>892</x:v>
      </x:c>
      <x:c r="Z154" s="15" t="n">
        <x:v>3393</x:v>
      </x:c>
      <x:c r="AA154" s="15" t="n">
        <x:v>982</x:v>
      </x:c>
      <x:c r="AB154" s="15" t="n">
        <x:v>2650</x:v>
      </x:c>
      <x:c r="AC154" s="15" t="n">
        <x:v>1045</x:v>
      </x:c>
      <x:c r="AD154" s="15" t="n">
        <x:v>2700</x:v>
      </x:c>
      <x:c r="AE154" s="15" t="n">
        <x:v>869</x:v>
      </x:c>
      <x:c r="AF154" s="15" t="n">
        <x:v>6654</x:v>
      </x:c>
      <x:c r="AG154" s="15" t="n">
        <x:v>1526</x:v>
      </x:c>
      <x:c r="AH154" s="15" t="n">
        <x:v>1990</x:v>
      </x:c>
      <x:c r="AI154" s="15" t="n">
        <x:v>849</x:v>
      </x:c>
    </x:row>
    <x:row r="155" ht="22" customHeight="1">
      <x:c r="A155" s="1" t="str">
        <x:v>310M700US24660</x:v>
      </x:c>
      <x:c r="B155" s="1" t="str">
        <x:v>24660</x:v>
      </x:c>
      <x:c r="C155" s="1" t="str">
        <x:v>Greensboro-High Point, NC Metro Area</x:v>
      </x:c>
      <x:c r="D155" s="5" t="n">
        <x:v>2024</x:v>
      </x:c>
      <x:c r="E155" s="1" t="str">
        <x:v>ok</x:v>
      </x:c>
      <x:c r="F155" s="15" t="n">
        <x:v>123698</x:v>
      </x:c>
      <x:c r="G155" s="15" t="n">
        <x:v>7434</x:v>
      </x:c>
      <x:c r="H155" s="15" t="n">
        <x:v>116264</x:v>
      </x:c>
      <x:c r="I155" s="15" t="n">
        <x:v>62703</x:v>
      </x:c>
      <x:c r="J155" s="15" t="n">
        <x:v>28821</x:v>
      </x:c>
      <x:c r="K155" s="15" t="n">
        <x:v>53.93157</x:v>
      </x:c>
      <x:c r="L155" s="15" t="n">
        <x:v>24.789273</x:v>
      </x:c>
      <x:c r="M155" s="15" t="n">
        <x:v>6.009798</x:v>
      </x:c>
      <x:c r="N155" s="15" t="n">
        <x:v>123698</x:v>
      </x:c>
      <x:c r="O155" s="15" t="n">
        <x:v>5811</x:v>
      </x:c>
      <x:c r="P155" s="15" t="n">
        <x:v>4906</x:v>
      </x:c>
      <x:c r="Q155" s="15" t="n">
        <x:v>1476</x:v>
      </x:c>
      <x:c r="R155" s="15" t="n">
        <x:v>10366</x:v>
      </x:c>
      <x:c r="S155" s="15" t="n">
        <x:v>2434</x:v>
      </x:c>
      <x:c r="T155" s="15" t="n">
        <x:v>11770</x:v>
      </x:c>
      <x:c r="U155" s="15" t="n">
        <x:v>2256</x:v>
      </x:c>
      <x:c r="V155" s="15" t="n">
        <x:v>14408</x:v>
      </x:c>
      <x:c r="W155" s="15" t="n">
        <x:v>3000</x:v>
      </x:c>
      <x:c r="X155" s="15" t="n">
        <x:v>12111</x:v>
      </x:c>
      <x:c r="Y155" s="15" t="n">
        <x:v>2698</x:v>
      </x:c>
      <x:c r="Z155" s="15" t="n">
        <x:v>11010</x:v>
      </x:c>
      <x:c r="AA155" s="15" t="n">
        <x:v>2750</x:v>
      </x:c>
      <x:c r="AB155" s="15" t="n">
        <x:v>9421</x:v>
      </x:c>
      <x:c r="AC155" s="15" t="n">
        <x:v>2194</x:v>
      </x:c>
      <x:c r="AD155" s="15" t="n">
        <x:v>13451</x:v>
      </x:c>
      <x:c r="AE155" s="15" t="n">
        <x:v>2287</x:v>
      </x:c>
      <x:c r="AF155" s="15" t="n">
        <x:v>28821</x:v>
      </x:c>
      <x:c r="AG155" s="15" t="n">
        <x:v>3910</x:v>
      </x:c>
      <x:c r="AH155" s="15" t="n">
        <x:v>7434</x:v>
      </x:c>
      <x:c r="AI155" s="15" t="n">
        <x:v>1862</x:v>
      </x:c>
    </x:row>
    <x:row r="156" ht="22" customHeight="1">
      <x:c r="A156" s="1" t="str">
        <x:v>310M700US24780</x:v>
      </x:c>
      <x:c r="B156" s="1" t="str">
        <x:v>24780</x:v>
      </x:c>
      <x:c r="C156" s="1" t="str">
        <x:v>Greenville, NC Metro Area</x:v>
      </x:c>
      <x:c r="D156" s="5" t="n">
        <x:v>2024</x:v>
      </x:c>
      <x:c r="E156" s="1" t="str">
        <x:v>ok</x:v>
      </x:c>
      <x:c r="F156" s="15" t="n">
        <x:v>35238</x:v>
      </x:c>
      <x:c r="G156" s="15" t="n">
        <x:v>2920</x:v>
      </x:c>
      <x:c r="H156" s="15" t="n">
        <x:v>32318</x:v>
      </x:c>
      <x:c r="I156" s="15" t="n">
        <x:v>15996</x:v>
      </x:c>
      <x:c r="J156" s="15" t="n">
        <x:v>9241</x:v>
      </x:c>
      <x:c r="K156" s="15" t="n">
        <x:v>49.495637</x:v>
      </x:c>
      <x:c r="L156" s="15" t="n">
        <x:v>28.593972</x:v>
      </x:c>
      <x:c r="M156" s="15" t="n">
        <x:v>8.286509</x:v>
      </x:c>
      <x:c r="N156" s="15" t="n">
        <x:v>35238</x:v>
      </x:c>
      <x:c r="O156" s="15" t="n">
        <x:v>2352</x:v>
      </x:c>
      <x:c r="P156" s="15" t="n">
        <x:v>1744</x:v>
      </x:c>
      <x:c r="Q156" s="15" t="n">
        <x:v>1094</x:v>
      </x:c>
      <x:c r="R156" s="15" t="n">
        <x:v>3455</x:v>
      </x:c>
      <x:c r="S156" s="15" t="n">
        <x:v>1398</x:v>
      </x:c>
      <x:c r="T156" s="15" t="n">
        <x:v>3588</x:v>
      </x:c>
      <x:c r="U156" s="15" t="n">
        <x:v>1242</x:v>
      </x:c>
      <x:c r="V156" s="15" t="n">
        <x:v>5042</x:v>
      </x:c>
      <x:c r="W156" s="15" t="n">
        <x:v>1663</x:v>
      </x:c>
      <x:c r="X156" s="15" t="n">
        <x:v>2493</x:v>
      </x:c>
      <x:c r="Y156" s="15" t="n">
        <x:v>1069</x:v>
      </x:c>
      <x:c r="Z156" s="15" t="n">
        <x:v>1510</x:v>
      </x:c>
      <x:c r="AA156" s="15" t="n">
        <x:v>799</x:v>
      </x:c>
      <x:c r="AB156" s="15" t="n">
        <x:v>2535</x:v>
      </x:c>
      <x:c r="AC156" s="15" t="n">
        <x:v>1085</x:v>
      </x:c>
      <x:c r="AD156" s="15" t="n">
        <x:v>2710</x:v>
      </x:c>
      <x:c r="AE156" s="15" t="n">
        <x:v>1142</x:v>
      </x:c>
      <x:c r="AF156" s="15" t="n">
        <x:v>9241</x:v>
      </x:c>
      <x:c r="AG156" s="15" t="n">
        <x:v>2043</x:v>
      </x:c>
      <x:c r="AH156" s="15" t="n">
        <x:v>2920</x:v>
      </x:c>
      <x:c r="AI156" s="15" t="n">
        <x:v>1083</x:v>
      </x:c>
    </x:row>
    <x:row r="157" ht="22" customHeight="1">
      <x:c r="A157" s="1" t="str">
        <x:v>310M700US24860</x:v>
      </x:c>
      <x:c r="B157" s="1" t="str">
        <x:v>24860</x:v>
      </x:c>
      <x:c r="C157" s="1" t="str">
        <x:v>Greenville-Anderson-Greer, SC Metro Area</x:v>
      </x:c>
      <x:c r="D157" s="5" t="n">
        <x:v>2024</x:v>
      </x:c>
      <x:c r="E157" s="1" t="str">
        <x:v>ok</x:v>
      </x:c>
      <x:c r="F157" s="15" t="n">
        <x:v>118322</x:v>
      </x:c>
      <x:c r="G157" s="15" t="n">
        <x:v>10799</x:v>
      </x:c>
      <x:c r="H157" s="15" t="n">
        <x:v>107523</x:v>
      </x:c>
      <x:c r="I157" s="15" t="n">
        <x:v>51642</x:v>
      </x:c>
      <x:c r="J157" s="15" t="n">
        <x:v>26408</x:v>
      </x:c>
      <x:c r="K157" s="15" t="n">
        <x:v>48.028794</x:v>
      </x:c>
      <x:c r="L157" s="15" t="n">
        <x:v>24.560327</x:v>
      </x:c>
      <x:c r="M157" s="15" t="n">
        <x:v>9.12679</x:v>
      </x:c>
      <x:c r="N157" s="15" t="n">
        <x:v>118322</x:v>
      </x:c>
      <x:c r="O157" s="15" t="n">
        <x:v>5717</x:v>
      </x:c>
      <x:c r="P157" s="15" t="n">
        <x:v>4206</x:v>
      </x:c>
      <x:c r="Q157" s="15" t="n">
        <x:v>1393</x:v>
      </x:c>
      <x:c r="R157" s="15" t="n">
        <x:v>8191</x:v>
      </x:c>
      <x:c r="S157" s="15" t="n">
        <x:v>1743</x:v>
      </x:c>
      <x:c r="T157" s="15" t="n">
        <x:v>13231</x:v>
      </x:c>
      <x:c r="U157" s="15" t="n">
        <x:v>2153</x:v>
      </x:c>
      <x:c r="V157" s="15" t="n">
        <x:v>16905</x:v>
      </x:c>
      <x:c r="W157" s="15" t="n">
        <x:v>2914</x:v>
      </x:c>
      <x:c r="X157" s="15" t="n">
        <x:v>13348</x:v>
      </x:c>
      <x:c r="Y157" s="15" t="n">
        <x:v>2340</x:v>
      </x:c>
      <x:c r="Z157" s="15" t="n">
        <x:v>8722</x:v>
      </x:c>
      <x:c r="AA157" s="15" t="n">
        <x:v>1530</x:v>
      </x:c>
      <x:c r="AB157" s="15" t="n">
        <x:v>8048</x:v>
      </x:c>
      <x:c r="AC157" s="15" t="n">
        <x:v>1999</x:v>
      </x:c>
      <x:c r="AD157" s="15" t="n">
        <x:v>8464</x:v>
      </x:c>
      <x:c r="AE157" s="15" t="n">
        <x:v>1970</x:v>
      </x:c>
      <x:c r="AF157" s="15" t="n">
        <x:v>26408</x:v>
      </x:c>
      <x:c r="AG157" s="15" t="n">
        <x:v>3479</x:v>
      </x:c>
      <x:c r="AH157" s="15" t="n">
        <x:v>10799</x:v>
      </x:c>
      <x:c r="AI157" s="15" t="n">
        <x:v>2181</x:v>
      </x:c>
    </x:row>
    <x:row r="158" ht="22" customHeight="1">
      <x:c r="A158" s="1" t="str">
        <x:v>310M700US25060</x:v>
      </x:c>
      <x:c r="B158" s="1" t="str">
        <x:v>25060</x:v>
      </x:c>
      <x:c r="C158" s="1" t="str">
        <x:v>Gulfport-Biloxi, MS Metro Area</x:v>
      </x:c>
      <x:c r="D158" s="5" t="n">
        <x:v>2024</x:v>
      </x:c>
      <x:c r="E158" s="1" t="str">
        <x:v>ok</x:v>
      </x:c>
      <x:c r="F158" s="15" t="n">
        <x:v>53027</x:v>
      </x:c>
      <x:c r="G158" s="15" t="n">
        <x:v>4478</x:v>
      </x:c>
      <x:c r="H158" s="15" t="n">
        <x:v>48549</x:v>
      </x:c>
      <x:c r="I158" s="15" t="n">
        <x:v>24177</x:v>
      </x:c>
      <x:c r="J158" s="15" t="n">
        <x:v>13586</x:v>
      </x:c>
      <x:c r="K158" s="15" t="n">
        <x:v>49.799172</x:v>
      </x:c>
      <x:c r="L158" s="15" t="n">
        <x:v>27.984099</x:v>
      </x:c>
      <x:c r="M158" s="15" t="n">
        <x:v>8.444755</x:v>
      </x:c>
      <x:c r="N158" s="15" t="n">
        <x:v>53027</x:v>
      </x:c>
      <x:c r="O158" s="15" t="n">
        <x:v>3610</x:v>
      </x:c>
      <x:c r="P158" s="15" t="n">
        <x:v>1910</x:v>
      </x:c>
      <x:c r="Q158" s="15" t="n">
        <x:v>759</x:v>
      </x:c>
      <x:c r="R158" s="15" t="n">
        <x:v>3607</x:v>
      </x:c>
      <x:c r="S158" s="15" t="n">
        <x:v>897</x:v>
      </x:c>
      <x:c r="T158" s="15" t="n">
        <x:v>5487</x:v>
      </x:c>
      <x:c r="U158" s="15" t="n">
        <x:v>1374</x:v>
      </x:c>
      <x:c r="V158" s="15" t="n">
        <x:v>7270</x:v>
      </x:c>
      <x:c r="W158" s="15" t="n">
        <x:v>1768</x:v>
      </x:c>
      <x:c r="X158" s="15" t="n">
        <x:v>6098</x:v>
      </x:c>
      <x:c r="Y158" s="15" t="n">
        <x:v>1561</x:v>
      </x:c>
      <x:c r="Z158" s="15" t="n">
        <x:v>3751</x:v>
      </x:c>
      <x:c r="AA158" s="15" t="n">
        <x:v>1235</x:v>
      </x:c>
      <x:c r="AB158" s="15" t="n">
        <x:v>2878</x:v>
      </x:c>
      <x:c r="AC158" s="15" t="n">
        <x:v>984</x:v>
      </x:c>
      <x:c r="AD158" s="15" t="n">
        <x:v>3962</x:v>
      </x:c>
      <x:c r="AE158" s="15" t="n">
        <x:v>1324</x:v>
      </x:c>
      <x:c r="AF158" s="15" t="n">
        <x:v>13586</x:v>
      </x:c>
      <x:c r="AG158" s="15" t="n">
        <x:v>2377</x:v>
      </x:c>
      <x:c r="AH158" s="15" t="n">
        <x:v>4478</x:v>
      </x:c>
      <x:c r="AI158" s="15" t="n">
        <x:v>1432</x:v>
      </x:c>
    </x:row>
    <x:row r="159" ht="22" customHeight="1">
      <x:c r="A159" s="1" t="str">
        <x:v>310M700US25180</x:v>
      </x:c>
      <x:c r="B159" s="1" t="str">
        <x:v>25180</x:v>
      </x:c>
      <x:c r="C159" s="1" t="str">
        <x:v>Hagerstown-Martinsburg, MD-WV Metro Area</x:v>
      </x:c>
      <x:c r="D159" s="5" t="n">
        <x:v>2024</x:v>
      </x:c>
      <x:c r="E159" s="1" t="str">
        <x:v>ok</x:v>
      </x:c>
      <x:c r="F159" s="15" t="n">
        <x:v>32274</x:v>
      </x:c>
      <x:c r="G159" s="15" t="n">
        <x:v>3545</x:v>
      </x:c>
      <x:c r="H159" s="15" t="n">
        <x:v>28729</x:v>
      </x:c>
      <x:c r="I159" s="15" t="n">
        <x:v>12569</x:v>
      </x:c>
      <x:c r="J159" s="15" t="n">
        <x:v>6486</x:v>
      </x:c>
      <x:c r="K159" s="15" t="n">
        <x:v>43.750218</x:v>
      </x:c>
      <x:c r="L159" s="15" t="n">
        <x:v>22.576491</x:v>
      </x:c>
      <x:c r="M159" s="15" t="n">
        <x:v>10.984074</x:v>
      </x:c>
      <x:c r="N159" s="15" t="n">
        <x:v>32274</x:v>
      </x:c>
      <x:c r="O159" s="15" t="n">
        <x:v>3053</x:v>
      </x:c>
      <x:c r="P159" s="15" t="n">
        <x:v>2487</x:v>
      </x:c>
      <x:c r="Q159" s="15" t="n">
        <x:v>1335</x:v>
      </x:c>
      <x:c r="R159" s="15" t="n">
        <x:v>2142</x:v>
      </x:c>
      <x:c r="S159" s="15" t="n">
        <x:v>910</x:v>
      </x:c>
      <x:c r="T159" s="15" t="n">
        <x:v>2785</x:v>
      </x:c>
      <x:c r="U159" s="15" t="n">
        <x:v>838</x:v>
      </x:c>
      <x:c r="V159" s="15" t="n">
        <x:v>4464</x:v>
      </x:c>
      <x:c r="W159" s="15" t="n">
        <x:v>1450</x:v>
      </x:c>
      <x:c r="X159" s="15" t="n">
        <x:v>4282</x:v>
      </x:c>
      <x:c r="Y159" s="15" t="n">
        <x:v>1265</x:v>
      </x:c>
      <x:c r="Z159" s="15" t="n">
        <x:v>2402</x:v>
      </x:c>
      <x:c r="AA159" s="15" t="n">
        <x:v>1030</x:v>
      </x:c>
      <x:c r="AB159" s="15" t="n">
        <x:v>2220</x:v>
      </x:c>
      <x:c r="AC159" s="15" t="n">
        <x:v>1065</x:v>
      </x:c>
      <x:c r="AD159" s="15" t="n">
        <x:v>1461</x:v>
      </x:c>
      <x:c r="AE159" s="15" t="n">
        <x:v>633</x:v>
      </x:c>
      <x:c r="AF159" s="15" t="n">
        <x:v>6486</x:v>
      </x:c>
      <x:c r="AG159" s="15" t="n">
        <x:v>1455</x:v>
      </x:c>
      <x:c r="AH159" s="15" t="n">
        <x:v>3545</x:v>
      </x:c>
      <x:c r="AI159" s="15" t="n">
        <x:v>1179</x:v>
      </x:c>
    </x:row>
    <x:row r="160" ht="22" customHeight="1">
      <x:c r="A160" s="1" t="str">
        <x:v>310M700US25220</x:v>
      </x:c>
      <x:c r="B160" s="1" t="str">
        <x:v>25220</x:v>
      </x:c>
      <x:c r="C160" s="1" t="str">
        <x:v>Hammond, LA Metro Area</x:v>
      </x:c>
      <x:c r="D160" s="5" t="n">
        <x:v>2024</x:v>
      </x:c>
      <x:c r="E160" s="1" t="str">
        <x:v>ok</x:v>
      </x:c>
      <x:c r="F160" s="15" t="n">
        <x:v>17677</x:v>
      </x:c>
      <x:c r="G160" s="15" t="n">
        <x:v>2907</x:v>
      </x:c>
      <x:c r="H160" s="15" t="n">
        <x:v>14770</x:v>
      </x:c>
      <x:c r="I160" s="15" t="n">
        <x:v>7894</x:v>
      </x:c>
      <x:c r="J160" s="15" t="n">
        <x:v>3311</x:v>
      </x:c>
      <x:c r="K160" s="15" t="n">
        <x:v>53.446175</x:v>
      </x:c>
      <x:c r="L160" s="15" t="n">
        <x:v>22.417062</x:v>
      </x:c>
      <x:c r="M160" s="15" t="n">
        <x:v>16.445098</x:v>
      </x:c>
      <x:c r="N160" s="15" t="n">
        <x:v>17677</x:v>
      </x:c>
      <x:c r="O160" s="15" t="n">
        <x:v>2069</x:v>
      </x:c>
      <x:c r="P160" s="15" t="n">
        <x:v>286</x:v>
      </x:c>
      <x:c r="Q160" s="15" t="n">
        <x:v>320</x:v>
      </x:c>
      <x:c r="R160" s="15" t="n">
        <x:v>907</x:v>
      </x:c>
      <x:c r="S160" s="15" t="n">
        <x:v>580</x:v>
      </x:c>
      <x:c r="T160" s="15" t="n">
        <x:v>2215</x:v>
      </x:c>
      <x:c r="U160" s="15" t="n">
        <x:v>1142</x:v>
      </x:c>
      <x:c r="V160" s="15" t="n">
        <x:v>1617</x:v>
      </x:c>
      <x:c r="W160" s="15" t="n">
        <x:v>957</x:v>
      </x:c>
      <x:c r="X160" s="15" t="n">
        <x:v>1851</x:v>
      </x:c>
      <x:c r="Y160" s="15" t="n">
        <x:v>979</x:v>
      </x:c>
      <x:c r="Z160" s="15" t="n">
        <x:v>997</x:v>
      </x:c>
      <x:c r="AA160" s="15" t="n">
        <x:v>594</x:v>
      </x:c>
      <x:c r="AB160" s="15" t="n">
        <x:v>1001</x:v>
      </x:c>
      <x:c r="AC160" s="15" t="n">
        <x:v>831</x:v>
      </x:c>
      <x:c r="AD160" s="15" t="n">
        <x:v>2585</x:v>
      </x:c>
      <x:c r="AE160" s="15" t="n">
        <x:v>1269</x:v>
      </x:c>
      <x:c r="AF160" s="15" t="n">
        <x:v>3311</x:v>
      </x:c>
      <x:c r="AG160" s="15" t="n">
        <x:v>1097</x:v>
      </x:c>
      <x:c r="AH160" s="15" t="n">
        <x:v>2907</x:v>
      </x:c>
      <x:c r="AI160" s="15" t="n">
        <x:v>1183</x:v>
      </x:c>
    </x:row>
    <x:row r="161" ht="22" customHeight="1">
      <x:c r="A161" s="1" t="str">
        <x:v>310M700US25260</x:v>
      </x:c>
      <x:c r="B161" s="1" t="str">
        <x:v>25260</x:v>
      </x:c>
      <x:c r="C161" s="1" t="str">
        <x:v>Hanford-Corcoran, CA Metro Area</x:v>
      </x:c>
      <x:c r="D161" s="5" t="n">
        <x:v>2024</x:v>
      </x:c>
      <x:c r="E161" s="1" t="str">
        <x:v>ok</x:v>
      </x:c>
      <x:c r="F161" s="15" t="n">
        <x:v>20022</x:v>
      </x:c>
      <x:c r="G161" s="15" t="n">
        <x:v>1443</x:v>
      </x:c>
      <x:c r="H161" s="15" t="n">
        <x:v>18579</x:v>
      </x:c>
      <x:c r="I161" s="15" t="n">
        <x:v>8867</x:v>
      </x:c>
      <x:c r="J161" s="15" t="n">
        <x:v>4296</x:v>
      </x:c>
      <x:c r="K161" s="15" t="n">
        <x:v>47.725927</x:v>
      </x:c>
      <x:c r="L161" s="15" t="n">
        <x:v>23.122881</x:v>
      </x:c>
      <x:c r="M161" s="15" t="n">
        <x:v>7.207072</x:v>
      </x:c>
      <x:c r="N161" s="15" t="n">
        <x:v>20022</x:v>
      </x:c>
      <x:c r="O161" s="15" t="n">
        <x:v>1710</x:v>
      </x:c>
      <x:c r="P161" s="15" t="n">
        <x:v>981</x:v>
      </x:c>
      <x:c r="Q161" s="15" t="n">
        <x:v>836</x:v>
      </x:c>
      <x:c r="R161" s="15" t="n">
        <x:v>2496</x:v>
      </x:c>
      <x:c r="S161" s="15" t="n">
        <x:v>934</x:v>
      </x:c>
      <x:c r="T161" s="15" t="n">
        <x:v>1870</x:v>
      </x:c>
      <x:c r="U161" s="15" t="n">
        <x:v>991</x:v>
      </x:c>
      <x:c r="V161" s="15" t="n">
        <x:v>2244</x:v>
      </x:c>
      <x:c r="W161" s="15" t="n">
        <x:v>843</x:v>
      </x:c>
      <x:c r="X161" s="15" t="n">
        <x:v>2121</x:v>
      </x:c>
      <x:c r="Y161" s="15" t="n">
        <x:v>869</x:v>
      </x:c>
      <x:c r="Z161" s="15" t="n">
        <x:v>1375</x:v>
      </x:c>
      <x:c r="AA161" s="15" t="n">
        <x:v>856</x:v>
      </x:c>
      <x:c r="AB161" s="15" t="n">
        <x:v>1045</x:v>
      </x:c>
      <x:c r="AC161" s="15" t="n">
        <x:v>588</x:v>
      </x:c>
      <x:c r="AD161" s="15" t="n">
        <x:v>2151</x:v>
      </x:c>
      <x:c r="AE161" s="15" t="n">
        <x:v>828</x:v>
      </x:c>
      <x:c r="AF161" s="15" t="n">
        <x:v>4296</x:v>
      </x:c>
      <x:c r="AG161" s="15" t="n">
        <x:v>1370</x:v>
      </x:c>
      <x:c r="AH161" s="15" t="n">
        <x:v>1443</x:v>
      </x:c>
      <x:c r="AI161" s="15" t="n">
        <x:v>655</x:v>
      </x:c>
    </x:row>
    <x:row r="162" ht="22" customHeight="1">
      <x:c r="A162" s="1" t="str">
        <x:v>310M700US25420</x:v>
      </x:c>
      <x:c r="B162" s="1" t="str">
        <x:v>25420</x:v>
      </x:c>
      <x:c r="C162" s="1" t="str">
        <x:v>Harrisburg-Carlisle, PA Metro Area</x:v>
      </x:c>
      <x:c r="D162" s="5" t="n">
        <x:v>2024</x:v>
      </x:c>
      <x:c r="E162" s="1" t="str">
        <x:v>ok</x:v>
      </x:c>
      <x:c r="F162" s="15" t="n">
        <x:v>81075</x:v>
      </x:c>
      <x:c r="G162" s="15" t="n">
        <x:v>4563</x:v>
      </x:c>
      <x:c r="H162" s="15" t="n">
        <x:v>76512</x:v>
      </x:c>
      <x:c r="I162" s="15" t="n">
        <x:v>34504</x:v>
      </x:c>
      <x:c r="J162" s="15" t="n">
        <x:v>19333</x:v>
      </x:c>
      <x:c r="K162" s="15" t="n">
        <x:v>45.096194</x:v>
      </x:c>
      <x:c r="L162" s="15" t="n">
        <x:v>25.267932</x:v>
      </x:c>
      <x:c r="M162" s="15" t="n">
        <x:v>5.628122</x:v>
      </x:c>
      <x:c r="N162" s="15" t="n">
        <x:v>81075</x:v>
      </x:c>
      <x:c r="O162" s="15" t="n">
        <x:v>3571</x:v>
      </x:c>
      <x:c r="P162" s="15" t="n">
        <x:v>2257</x:v>
      </x:c>
      <x:c r="Q162" s="15" t="n">
        <x:v>792</x:v>
      </x:c>
      <x:c r="R162" s="15" t="n">
        <x:v>7454</x:v>
      </x:c>
      <x:c r="S162" s="15" t="n">
        <x:v>1806</x:v>
      </x:c>
      <x:c r="T162" s="15" t="n">
        <x:v>11763</x:v>
      </x:c>
      <x:c r="U162" s="15" t="n">
        <x:v>2254</x:v>
      </x:c>
      <x:c r="V162" s="15" t="n">
        <x:v>10006</x:v>
      </x:c>
      <x:c r="W162" s="15" t="n">
        <x:v>2223</x:v>
      </x:c>
      <x:c r="X162" s="15" t="n">
        <x:v>10528</x:v>
      </x:c>
      <x:c r="Y162" s="15" t="n">
        <x:v>2316</x:v>
      </x:c>
      <x:c r="Z162" s="15" t="n">
        <x:v>6375</x:v>
      </x:c>
      <x:c r="AA162" s="15" t="n">
        <x:v>1682</x:v>
      </x:c>
      <x:c r="AB162" s="15" t="n">
        <x:v>4130</x:v>
      </x:c>
      <x:c r="AC162" s="15" t="n">
        <x:v>1409</x:v>
      </x:c>
      <x:c r="AD162" s="15" t="n">
        <x:v>4666</x:v>
      </x:c>
      <x:c r="AE162" s="15" t="n">
        <x:v>1381</x:v>
      </x:c>
      <x:c r="AF162" s="15" t="n">
        <x:v>19333</x:v>
      </x:c>
      <x:c r="AG162" s="15" t="n">
        <x:v>3096</x:v>
      </x:c>
      <x:c r="AH162" s="15" t="n">
        <x:v>4563</x:v>
      </x:c>
      <x:c r="AI162" s="15" t="n">
        <x:v>1085</x:v>
      </x:c>
    </x:row>
    <x:row r="163" ht="22" customHeight="1">
      <x:c r="A163" s="1" t="str">
        <x:v>310M700US25500</x:v>
      </x:c>
      <x:c r="B163" s="1" t="str">
        <x:v>25500</x:v>
      </x:c>
      <x:c r="C163" s="1" t="str">
        <x:v>Harrisonburg, VA Metro Area</x:v>
      </x:c>
      <x:c r="D163" s="5" t="n">
        <x:v>2024</x:v>
      </x:c>
      <x:c r="E163" s="1" t="str">
        <x:v>ok</x:v>
      </x:c>
      <x:c r="F163" s="15" t="n">
        <x:v>19127</x:v>
      </x:c>
      <x:c r="G163" s="15" t="n">
        <x:v>491</x:v>
      </x:c>
      <x:c r="H163" s="15" t="n">
        <x:v>18636</x:v>
      </x:c>
      <x:c r="I163" s="15" t="n">
        <x:v>9035</x:v>
      </x:c>
      <x:c r="J163" s="15" t="n">
        <x:v>5724</x:v>
      </x:c>
      <x:c r="K163" s="15" t="n">
        <x:v>48.481434</x:v>
      </x:c>
      <x:c r="L163" s="15" t="n">
        <x:v>30.714746</x:v>
      </x:c>
      <x:c r="M163" s="15" t="n">
        <x:v>2.567052</x:v>
      </x:c>
      <x:c r="N163" s="15" t="n">
        <x:v>19127</x:v>
      </x:c>
      <x:c r="O163" s="15" t="n">
        <x:v>1694</x:v>
      </x:c>
      <x:c r="P163" s="15" t="n">
        <x:v>1323</x:v>
      </x:c>
      <x:c r="Q163" s="15" t="n">
        <x:v>652</x:v>
      </x:c>
      <x:c r="R163" s="15" t="n">
        <x:v>841</x:v>
      </x:c>
      <x:c r="S163" s="15" t="n">
        <x:v>508</x:v>
      </x:c>
      <x:c r="T163" s="15" t="n">
        <x:v>2445</x:v>
      </x:c>
      <x:c r="U163" s="15" t="n">
        <x:v>839</x:v>
      </x:c>
      <x:c r="V163" s="15" t="n">
        <x:v>2607</x:v>
      </x:c>
      <x:c r="W163" s="15" t="n">
        <x:v>911</x:v>
      </x:c>
      <x:c r="X163" s="15" t="n">
        <x:v>2385</x:v>
      </x:c>
      <x:c r="Y163" s="15" t="n">
        <x:v>879</x:v>
      </x:c>
      <x:c r="Z163" s="15" t="n">
        <x:v>1138</x:v>
      </x:c>
      <x:c r="AA163" s="15" t="n">
        <x:v>635</x:v>
      </x:c>
      <x:c r="AB163" s="15" t="n">
        <x:v>891</x:v>
      </x:c>
      <x:c r="AC163" s="15" t="n">
        <x:v>505</x:v>
      </x:c>
      <x:c r="AD163" s="15" t="n">
        <x:v>1282</x:v>
      </x:c>
      <x:c r="AE163" s="15" t="n">
        <x:v>600</x:v>
      </x:c>
      <x:c r="AF163" s="15" t="n">
        <x:v>5724</x:v>
      </x:c>
      <x:c r="AG163" s="15" t="n">
        <x:v>1246</x:v>
      </x:c>
      <x:c r="AH163" s="15" t="n">
        <x:v>491</x:v>
      </x:c>
      <x:c r="AI163" s="15" t="n">
        <x:v>309</x:v>
      </x:c>
    </x:row>
    <x:row r="164" ht="22" customHeight="1">
      <x:c r="A164" s="1" t="str">
        <x:v>310M700US25540</x:v>
      </x:c>
      <x:c r="B164" s="1" t="str">
        <x:v>25540</x:v>
      </x:c>
      <x:c r="C164" s="1" t="str">
        <x:v>Hartford-West Hartford-East Hartford, CT Metro Area</x:v>
      </x:c>
      <x:c r="D164" s="5" t="n">
        <x:v>2024</x:v>
      </x:c>
      <x:c r="E164" s="1" t="str">
        <x:v>ok</x:v>
      </x:c>
      <x:c r="F164" s="15" t="n">
        <x:v>154864</x:v>
      </x:c>
      <x:c r="G164" s="15" t="n">
        <x:v>8660</x:v>
      </x:c>
      <x:c r="H164" s="15" t="n">
        <x:v>146204</x:v>
      </x:c>
      <x:c r="I164" s="15" t="n">
        <x:v>74763</x:v>
      </x:c>
      <x:c r="J164" s="15" t="n">
        <x:v>40105</x:v>
      </x:c>
      <x:c r="K164" s="15" t="n">
        <x:v>51.136084</x:v>
      </x:c>
      <x:c r="L164" s="15" t="n">
        <x:v>27.43085</x:v>
      </x:c>
      <x:c r="M164" s="15" t="n">
        <x:v>5.592003</x:v>
      </x:c>
      <x:c r="N164" s="15" t="n">
        <x:v>154864</x:v>
      </x:c>
      <x:c r="O164" s="15" t="n">
        <x:v>5455</x:v>
      </x:c>
      <x:c r="P164" s="15" t="n">
        <x:v>5380</x:v>
      </x:c>
      <x:c r="Q164" s="15" t="n">
        <x:v>1577</x:v>
      </x:c>
      <x:c r="R164" s="15" t="n">
        <x:v>13612</x:v>
      </x:c>
      <x:c r="S164" s="15" t="n">
        <x:v>2257</x:v>
      </x:c>
      <x:c r="T164" s="15" t="n">
        <x:v>16525</x:v>
      </x:c>
      <x:c r="U164" s="15" t="n">
        <x:v>2358</x:v>
      </x:c>
      <x:c r="V164" s="15" t="n">
        <x:v>20456</x:v>
      </x:c>
      <x:c r="W164" s="15" t="n">
        <x:v>2942</x:v>
      </x:c>
      <x:c r="X164" s="15" t="n">
        <x:v>15468</x:v>
      </x:c>
      <x:c r="Y164" s="15" t="n">
        <x:v>2473</x:v>
      </x:c>
      <x:c r="Z164" s="15" t="n">
        <x:v>11199</x:v>
      </x:c>
      <x:c r="AA164" s="15" t="n">
        <x:v>1763</x:v>
      </x:c>
      <x:c r="AB164" s="15" t="n">
        <x:v>10250</x:v>
      </x:c>
      <x:c r="AC164" s="15" t="n">
        <x:v>2063</x:v>
      </x:c>
      <x:c r="AD164" s="15" t="n">
        <x:v>13209</x:v>
      </x:c>
      <x:c r="AE164" s="15" t="n">
        <x:v>2281</x:v>
      </x:c>
      <x:c r="AF164" s="15" t="n">
        <x:v>40105</x:v>
      </x:c>
      <x:c r="AG164" s="15" t="n">
        <x:v>3805</x:v>
      </x:c>
      <x:c r="AH164" s="15" t="n">
        <x:v>8660</x:v>
      </x:c>
      <x:c r="AI164" s="15" t="n">
        <x:v>1786</x:v>
      </x:c>
    </x:row>
    <x:row r="165" ht="22" customHeight="1">
      <x:c r="A165" s="1" t="str">
        <x:v>310M700US25620</x:v>
      </x:c>
      <x:c r="B165" s="1" t="str">
        <x:v>25620</x:v>
      </x:c>
      <x:c r="C165" s="1" t="str">
        <x:v>Hattiesburg, MS Metro Area</x:v>
      </x:c>
      <x:c r="D165" s="5" t="n">
        <x:v>2024</x:v>
      </x:c>
      <x:c r="E165" s="1" t="str">
        <x:v>ok</x:v>
      </x:c>
      <x:c r="F165" s="15" t="n">
        <x:v>19951</x:v>
      </x:c>
      <x:c r="G165" s="15" t="n">
        <x:v>4002</x:v>
      </x:c>
      <x:c r="H165" s="15" t="n">
        <x:v>15949</x:v>
      </x:c>
      <x:c r="I165" s="15" t="n">
        <x:v>6561</x:v>
      </x:c>
      <x:c r="J165" s="15" t="n">
        <x:v>2377</x:v>
      </x:c>
      <x:c r="K165" s="15" t="n">
        <x:v>41.137375</x:v>
      </x:c>
      <x:c r="L165" s="15" t="n">
        <x:v>14.903756</x:v>
      </x:c>
      <x:c r="M165" s="15" t="n">
        <x:v>20.059145</x:v>
      </x:c>
      <x:c r="N165" s="15" t="n">
        <x:v>19951</x:v>
      </x:c>
      <x:c r="O165" s="15" t="n">
        <x:v>1985</x:v>
      </x:c>
      <x:c r="P165" s="15" t="n">
        <x:v>1260</x:v>
      </x:c>
      <x:c r="Q165" s="15" t="n">
        <x:v>727</x:v>
      </x:c>
      <x:c r="R165" s="15" t="n">
        <x:v>1979</x:v>
      </x:c>
      <x:c r="S165" s="15" t="n">
        <x:v>931</x:v>
      </x:c>
      <x:c r="T165" s="15" t="n">
        <x:v>2916</x:v>
      </x:c>
      <x:c r="U165" s="15" t="n">
        <x:v>925</x:v>
      </x:c>
      <x:c r="V165" s="15" t="n">
        <x:v>2130</x:v>
      </x:c>
      <x:c r="W165" s="15" t="n">
        <x:v>943</x:v>
      </x:c>
      <x:c r="X165" s="15" t="n">
        <x:v>1103</x:v>
      </x:c>
      <x:c r="Y165" s="15" t="n">
        <x:v>560</x:v>
      </x:c>
      <x:c r="Z165" s="15" t="n">
        <x:v>1886</x:v>
      </x:c>
      <x:c r="AA165" s="15" t="n">
        <x:v>963</x:v>
      </x:c>
      <x:c r="AB165" s="15" t="n">
        <x:v>1053</x:v>
      </x:c>
      <x:c r="AC165" s="15" t="n">
        <x:v>813</x:v>
      </x:c>
      <x:c r="AD165" s="15" t="n">
        <x:v>1245</x:v>
      </x:c>
      <x:c r="AE165" s="15" t="n">
        <x:v>773</x:v>
      </x:c>
      <x:c r="AF165" s="15" t="n">
        <x:v>2377</x:v>
      </x:c>
      <x:c r="AG165" s="15" t="n">
        <x:v>1093</x:v>
      </x:c>
      <x:c r="AH165" s="15" t="n">
        <x:v>4002</x:v>
      </x:c>
      <x:c r="AI165" s="15" t="n">
        <x:v>1242</x:v>
      </x:c>
    </x:row>
    <x:row r="166" ht="22" customHeight="1">
      <x:c r="A166" s="1" t="str">
        <x:v>310M700US25740</x:v>
      </x:c>
      <x:c r="B166" s="1" t="str">
        <x:v>25740</x:v>
      </x:c>
      <x:c r="C166" s="1" t="str">
        <x:v>Helena, MT Metro Area</x:v>
      </x:c>
      <x:c r="D166" s="5" t="n">
        <x:v>2024</x:v>
      </x:c>
      <x:c r="E166" s="1" t="str">
        <x:v>ok</x:v>
      </x:c>
      <x:c r="F166" s="15" t="n">
        <x:v>10097</x:v>
      </x:c>
      <x:c r="G166" s="15" t="n">
        <x:v>448</x:v>
      </x:c>
      <x:c r="H166" s="15" t="n">
        <x:v>9649</x:v>
      </x:c>
      <x:c r="I166" s="15" t="n">
        <x:v>3533</x:v>
      </x:c>
      <x:c r="J166" s="15" t="n">
        <x:v>1147</x:v>
      </x:c>
      <x:c r="K166" s="15" t="n">
        <x:v>36.615193</x:v>
      </x:c>
      <x:c r="L166" s="15" t="n">
        <x:v>11.887242</x:v>
      </x:c>
      <x:c r="M166" s="15" t="n">
        <x:v>4.436961</x:v>
      </x:c>
      <x:c r="N166" s="15" t="n">
        <x:v>10097</x:v>
      </x:c>
      <x:c r="O166" s="15" t="n">
        <x:v>1289</x:v>
      </x:c>
      <x:c r="P166" s="15" t="n">
        <x:v>450</x:v>
      </x:c>
      <x:c r="Q166" s="15" t="n">
        <x:v>494</x:v>
      </x:c>
      <x:c r="R166" s="15" t="n">
        <x:v>768</x:v>
      </x:c>
      <x:c r="S166" s="15" t="n">
        <x:v>451</x:v>
      </x:c>
      <x:c r="T166" s="15" t="n">
        <x:v>2096</x:v>
      </x:c>
      <x:c r="U166" s="15" t="n">
        <x:v>765</x:v>
      </x:c>
      <x:c r="V166" s="15" t="n">
        <x:v>964</x:v>
      </x:c>
      <x:c r="W166" s="15" t="n">
        <x:v>608</x:v>
      </x:c>
      <x:c r="X166" s="15" t="n">
        <x:v>1838</x:v>
      </x:c>
      <x:c r="Y166" s="15" t="n">
        <x:v>820</x:v>
      </x:c>
      <x:c r="Z166" s="15" t="n">
        <x:v>519</x:v>
      </x:c>
      <x:c r="AA166" s="15" t="n">
        <x:v>383</x:v>
      </x:c>
      <x:c r="AB166" s="15" t="n">
        <x:v>731</x:v>
      </x:c>
      <x:c r="AC166" s="15" t="n">
        <x:v>532</x:v>
      </x:c>
      <x:c r="AD166" s="15" t="n">
        <x:v>1136</x:v>
      </x:c>
      <x:c r="AE166" s="15" t="n">
        <x:v>941</x:v>
      </x:c>
      <x:c r="AF166" s="15" t="n">
        <x:v>1147</x:v>
      </x:c>
      <x:c r="AG166" s="15" t="n">
        <x:v>504</x:v>
      </x:c>
      <x:c r="AH166" s="15" t="n">
        <x:v>448</x:v>
      </x:c>
      <x:c r="AI166" s="15" t="n">
        <x:v>270</x:v>
      </x:c>
    </x:row>
    <x:row r="167" ht="22" customHeight="1">
      <x:c r="A167" s="1" t="str">
        <x:v>310M700US25860</x:v>
      </x:c>
      <x:c r="B167" s="1" t="str">
        <x:v>25860</x:v>
      </x:c>
      <x:c r="C167" s="1" t="str">
        <x:v>Hickory-Lenoir-Morganton, NC Metro Area</x:v>
      </x:c>
      <x:c r="D167" s="5" t="n">
        <x:v>2024</x:v>
      </x:c>
      <x:c r="E167" s="1" t="str">
        <x:v>ok</x:v>
      </x:c>
      <x:c r="F167" s="15" t="n">
        <x:v>43413</x:v>
      </x:c>
      <x:c r="G167" s="15" t="n">
        <x:v>4674</x:v>
      </x:c>
      <x:c r="H167" s="15" t="n">
        <x:v>38739</x:v>
      </x:c>
      <x:c r="I167" s="15" t="n">
        <x:v>16778</x:v>
      </x:c>
      <x:c r="J167" s="15" t="n">
        <x:v>9177</x:v>
      </x:c>
      <x:c r="K167" s="15" t="n">
        <x:v>43.310359</x:v>
      </x:c>
      <x:c r="L167" s="15" t="n">
        <x:v>23.689305</x:v>
      </x:c>
      <x:c r="M167" s="15" t="n">
        <x:v>10.76636</x:v>
      </x:c>
      <x:c r="N167" s="15" t="n">
        <x:v>43413</x:v>
      </x:c>
      <x:c r="O167" s="15" t="n">
        <x:v>3256</x:v>
      </x:c>
      <x:c r="P167" s="15" t="n">
        <x:v>1427</x:v>
      </x:c>
      <x:c r="Q167" s="15" t="n">
        <x:v>620</x:v>
      </x:c>
      <x:c r="R167" s="15" t="n">
        <x:v>3996</x:v>
      </x:c>
      <x:c r="S167" s="15" t="n">
        <x:v>1280</x:v>
      </x:c>
      <x:c r="T167" s="15" t="n">
        <x:v>5774</x:v>
      </x:c>
      <x:c r="U167" s="15" t="n">
        <x:v>1601</x:v>
      </x:c>
      <x:c r="V167" s="15" t="n">
        <x:v>6192</x:v>
      </x:c>
      <x:c r="W167" s="15" t="n">
        <x:v>1599</x:v>
      </x:c>
      <x:c r="X167" s="15" t="n">
        <x:v>4572</x:v>
      </x:c>
      <x:c r="Y167" s="15" t="n">
        <x:v>1455</x:v>
      </x:c>
      <x:c r="Z167" s="15" t="n">
        <x:v>3498</x:v>
      </x:c>
      <x:c r="AA167" s="15" t="n">
        <x:v>1362</x:v>
      </x:c>
      <x:c r="AB167" s="15" t="n">
        <x:v>1444</x:v>
      </x:c>
      <x:c r="AC167" s="15" t="n">
        <x:v>732</x:v>
      </x:c>
      <x:c r="AD167" s="15" t="n">
        <x:v>2659</x:v>
      </x:c>
      <x:c r="AE167" s="15" t="n">
        <x:v>1079</x:v>
      </x:c>
      <x:c r="AF167" s="15" t="n">
        <x:v>9177</x:v>
      </x:c>
      <x:c r="AG167" s="15" t="n">
        <x:v>1763</x:v>
      </x:c>
      <x:c r="AH167" s="15" t="n">
        <x:v>4674</x:v>
      </x:c>
      <x:c r="AI167" s="15" t="n">
        <x:v>1391</x:v>
      </x:c>
    </x:row>
    <x:row r="168" ht="22" customHeight="1">
      <x:c r="A168" s="1" t="str">
        <x:v>310M700US25940</x:v>
      </x:c>
      <x:c r="B168" s="1" t="str">
        <x:v>25940</x:v>
      </x:c>
      <x:c r="C168" s="1" t="str">
        <x:v>Hilton Head Island-Bluffton-Port Royal, SC Metro Area</x:v>
      </x:c>
      <x:c r="D168" s="5" t="n">
        <x:v>2024</x:v>
      </x:c>
      <x:c r="E168" s="1" t="str">
        <x:v>ok</x:v>
      </x:c>
      <x:c r="F168" s="15" t="n">
        <x:v>26874</x:v>
      </x:c>
      <x:c r="G168" s="15" t="n">
        <x:v>2867</x:v>
      </x:c>
      <x:c r="H168" s="15" t="n">
        <x:v>24007</x:v>
      </x:c>
      <x:c r="I168" s="15" t="n">
        <x:v>13515</x:v>
      </x:c>
      <x:c r="J168" s="15" t="n">
        <x:v>7409</x:v>
      </x:c>
      <x:c r="K168" s="15" t="n">
        <x:v>56.29608</x:v>
      </x:c>
      <x:c r="L168" s="15" t="n">
        <x:v>30.861832</x:v>
      </x:c>
      <x:c r="M168" s="15" t="n">
        <x:v>10.668304</x:v>
      </x:c>
      <x:c r="N168" s="15" t="n">
        <x:v>26874</x:v>
      </x:c>
      <x:c r="O168" s="15" t="n">
        <x:v>3563</x:v>
      </x:c>
      <x:c r="P168" s="15" t="n">
        <x:v>552</x:v>
      </x:c>
      <x:c r="Q168" s="15" t="n">
        <x:v>748</x:v>
      </x:c>
      <x:c r="R168" s="15" t="n">
        <x:v>1037</x:v>
      </x:c>
      <x:c r="S168" s="15" t="n">
        <x:v>883</x:v>
      </x:c>
      <x:c r="T168" s="15" t="n">
        <x:v>2701</x:v>
      </x:c>
      <x:c r="U168" s="15" t="n">
        <x:v>1508</x:v>
      </x:c>
      <x:c r="V168" s="15" t="n">
        <x:v>2252</x:v>
      </x:c>
      <x:c r="W168" s="15" t="n">
        <x:v>1274</x:v>
      </x:c>
      <x:c r="X168" s="15" t="n">
        <x:v>3950</x:v>
      </x:c>
      <x:c r="Y168" s="15" t="n">
        <x:v>1648</x:v>
      </x:c>
      <x:c r="Z168" s="15" t="n">
        <x:v>2004</x:v>
      </x:c>
      <x:c r="AA168" s="15" t="n">
        <x:v>1080</x:v>
      </x:c>
      <x:c r="AB168" s="15" t="n">
        <x:v>2136</x:v>
      </x:c>
      <x:c r="AC168" s="15" t="n">
        <x:v>1127</x:v>
      </x:c>
      <x:c r="AD168" s="15" t="n">
        <x:v>1966</x:v>
      </x:c>
      <x:c r="AE168" s="15" t="n">
        <x:v>1048</x:v>
      </x:c>
      <x:c r="AF168" s="15" t="n">
        <x:v>7409</x:v>
      </x:c>
      <x:c r="AG168" s="15" t="n">
        <x:v>2622</x:v>
      </x:c>
      <x:c r="AH168" s="15" t="n">
        <x:v>2867</x:v>
      </x:c>
      <x:c r="AI168" s="15" t="n">
        <x:v>1348</x:v>
      </x:c>
    </x:row>
    <x:row r="169" ht="22" customHeight="1">
      <x:c r="A169" s="1" t="str">
        <x:v>310M700US25980</x:v>
      </x:c>
      <x:c r="B169" s="1" t="str">
        <x:v>25980</x:v>
      </x:c>
      <x:c r="C169" s="1" t="str">
        <x:v>Hinesville, GA Metro Area</x:v>
      </x:c>
      <x:c r="D169" s="5" t="n">
        <x:v>2024</x:v>
      </x:c>
      <x:c r="E169" s="1" t="str">
        <x:v>ok</x:v>
      </x:c>
      <x:c r="F169" s="15" t="n">
        <x:v>12947</x:v>
      </x:c>
      <x:c r="G169" s="15" t="n">
        <x:v>1209</x:v>
      </x:c>
      <x:c r="H169" s="15" t="n">
        <x:v>11738</x:v>
      </x:c>
      <x:c r="I169" s="15" t="n">
        <x:v>5022</x:v>
      </x:c>
      <x:c r="J169" s="15" t="n">
        <x:v>3073</x:v>
      </x:c>
      <x:c r="K169" s="15" t="n">
        <x:v>42.78412</x:v>
      </x:c>
      <x:c r="L169" s="15" t="n">
        <x:v>26.179928</x:v>
      </x:c>
      <x:c r="M169" s="15" t="n">
        <x:v>9.338071</x:v>
      </x:c>
      <x:c r="N169" s="15" t="n">
        <x:v>12947</x:v>
      </x:c>
      <x:c r="O169" s="15" t="n">
        <x:v>1573</x:v>
      </x:c>
      <x:c r="P169" s="15" t="n">
        <x:v>751</x:v>
      </x:c>
      <x:c r="Q169" s="15" t="n">
        <x:v>802</x:v>
      </x:c>
      <x:c r="R169" s="15" t="n">
        <x:v>1435</x:v>
      </x:c>
      <x:c r="S169" s="15" t="n">
        <x:v>861</x:v>
      </x:c>
      <x:c r="T169" s="15" t="n">
        <x:v>1568</x:v>
      </x:c>
      <x:c r="U169" s="15" t="n">
        <x:v>781</x:v>
      </x:c>
      <x:c r="V169" s="15" t="n">
        <x:v>1496</x:v>
      </x:c>
      <x:c r="W169" s="15" t="n">
        <x:v>695</x:v>
      </x:c>
      <x:c r="X169" s="15" t="n">
        <x:v>1466</x:v>
      </x:c>
      <x:c r="Y169" s="15" t="n">
        <x:v>699</x:v>
      </x:c>
      <x:c r="Z169" s="15" t="n">
        <x:v>239</x:v>
      </x:c>
      <x:c r="AA169" s="15" t="n">
        <x:v>231</x:v>
      </x:c>
      <x:c r="AB169" s="15" t="n">
        <x:v>575</x:v>
      </x:c>
      <x:c r="AC169" s="15" t="n">
        <x:v>456</x:v>
      </x:c>
      <x:c r="AD169" s="15" t="n">
        <x:v>1135</x:v>
      </x:c>
      <x:c r="AE169" s="15" t="n">
        <x:v>601</x:v>
      </x:c>
      <x:c r="AF169" s="15" t="n">
        <x:v>3073</x:v>
      </x:c>
      <x:c r="AG169" s="15" t="n">
        <x:v>1040</x:v>
      </x:c>
      <x:c r="AH169" s="15" t="n">
        <x:v>1209</x:v>
      </x:c>
      <x:c r="AI169" s="15" t="n">
        <x:v>596</x:v>
      </x:c>
    </x:row>
    <x:row r="170" ht="22" customHeight="1">
      <x:c r="A170" s="1" t="str">
        <x:v>310M700US26140</x:v>
      </x:c>
      <x:c r="B170" s="1" t="str">
        <x:v>26140</x:v>
      </x:c>
      <x:c r="C170" s="1" t="str">
        <x:v>Homosassa Springs, FL Metro Area</x:v>
      </x:c>
      <x:c r="D170" s="5" t="n">
        <x:v>2024</x:v>
      </x:c>
      <x:c r="E170" s="1" t="str">
        <x:v>ok</x:v>
      </x:c>
      <x:c r="F170" s="15" t="n">
        <x:v>9832</x:v>
      </x:c>
      <x:c r="G170" s="15" t="n">
        <x:v>2075</x:v>
      </x:c>
      <x:c r="H170" s="15" t="n">
        <x:v>7757</x:v>
      </x:c>
      <x:c r="I170" s="15" t="n">
        <x:v>4588</x:v>
      </x:c>
      <x:c r="J170" s="15" t="n">
        <x:v>2154</x:v>
      </x:c>
      <x:c r="K170" s="15" t="n">
        <x:v>59.146577</x:v>
      </x:c>
      <x:c r="L170" s="15" t="n">
        <x:v>27.768467</x:v>
      </x:c>
      <x:c r="M170" s="15" t="n">
        <x:v>21.104557</x:v>
      </x:c>
      <x:c r="N170" s="15" t="n">
        <x:v>9832</x:v>
      </x:c>
      <x:c r="O170" s="15" t="n">
        <x:v>1497</x:v>
      </x:c>
      <x:c r="P170" s="15" t="n">
        <x:v>125</x:v>
      </x:c>
      <x:c r="Q170" s="15" t="n">
        <x:v>155</x:v>
      </x:c>
      <x:c r="R170" s="15" t="n">
        <x:v>806</x:v>
      </x:c>
      <x:c r="S170" s="15" t="n">
        <x:v>580</x:v>
      </x:c>
      <x:c r="T170" s="15" t="n">
        <x:v>542</x:v>
      </x:c>
      <x:c r="U170" s="15" t="n">
        <x:v>361</x:v>
      </x:c>
      <x:c r="V170" s="15" t="n">
        <x:v>487</x:v>
      </x:c>
      <x:c r="W170" s="15" t="n">
        <x:v>300</x:v>
      </x:c>
      <x:c r="X170" s="15" t="n">
        <x:v>1209</x:v>
      </x:c>
      <x:c r="Y170" s="15" t="n">
        <x:v>676</x:v>
      </x:c>
      <x:c r="Z170" s="15" t="n">
        <x:v>590</x:v>
      </x:c>
      <x:c r="AA170" s="15" t="n">
        <x:v>569</x:v>
      </x:c>
      <x:c r="AB170" s="15" t="n">
        <x:v>806</x:v>
      </x:c>
      <x:c r="AC170" s="15" t="n">
        <x:v>442</x:v>
      </x:c>
      <x:c r="AD170" s="15" t="n">
        <x:v>1038</x:v>
      </x:c>
      <x:c r="AE170" s="15" t="n">
        <x:v>559</x:v>
      </x:c>
      <x:c r="AF170" s="15" t="n">
        <x:v>2154</x:v>
      </x:c>
      <x:c r="AG170" s="15" t="n">
        <x:v>907</x:v>
      </x:c>
      <x:c r="AH170" s="15" t="n">
        <x:v>2075</x:v>
      </x:c>
      <x:c r="AI170" s="15" t="n">
        <x:v>776</x:v>
      </x:c>
    </x:row>
    <x:row r="171" ht="22" customHeight="1">
      <x:c r="A171" s="1" t="str">
        <x:v>310M700US26300</x:v>
      </x:c>
      <x:c r="B171" s="1" t="str">
        <x:v>26300</x:v>
      </x:c>
      <x:c r="C171" s="1" t="str">
        <x:v>Hot Springs, AR Metro Area</x:v>
      </x:c>
      <x:c r="D171" s="5" t="n">
        <x:v>2024</x:v>
      </x:c>
      <x:c r="E171" s="1" t="str">
        <x:v>ok</x:v>
      </x:c>
      <x:c r="F171" s="15" t="n">
        <x:v>12887</x:v>
      </x:c>
      <x:c r="G171" s="15" t="n">
        <x:v>1739</x:v>
      </x:c>
      <x:c r="H171" s="15" t="n">
        <x:v>11148</x:v>
      </x:c>
      <x:c r="I171" s="15" t="n">
        <x:v>4648</x:v>
      </x:c>
      <x:c r="J171" s="15" t="n">
        <x:v>2521</x:v>
      </x:c>
      <x:c r="K171" s="15" t="n">
        <x:v>41.693577</x:v>
      </x:c>
      <x:c r="L171" s="15" t="n">
        <x:v>22.613922</x:v>
      </x:c>
      <x:c r="M171" s="15" t="n">
        <x:v>13.494219</x:v>
      </x:c>
      <x:c r="N171" s="15" t="n">
        <x:v>12887</x:v>
      </x:c>
      <x:c r="O171" s="15" t="n">
        <x:v>2125</x:v>
      </x:c>
      <x:c r="P171" s="15" t="n">
        <x:v>613</x:v>
      </x:c>
      <x:c r="Q171" s="15" t="n">
        <x:v>521</x:v>
      </x:c>
      <x:c r="R171" s="15" t="n">
        <x:v>1061</x:v>
      </x:c>
      <x:c r="S171" s="15" t="n">
        <x:v>679</x:v>
      </x:c>
      <x:c r="T171" s="15" t="n">
        <x:v>1316</x:v>
      </x:c>
      <x:c r="U171" s="15" t="n">
        <x:v>638</x:v>
      </x:c>
      <x:c r="V171" s="15" t="n">
        <x:v>1622</x:v>
      </x:c>
      <x:c r="W171" s="15" t="n">
        <x:v>744</x:v>
      </x:c>
      <x:c r="X171" s="15" t="n">
        <x:v>1888</x:v>
      </x:c>
      <x:c r="Y171" s="15" t="n">
        <x:v>820</x:v>
      </x:c>
      <x:c r="Z171" s="15" t="n">
        <x:v>1111</x:v>
      </x:c>
      <x:c r="AA171" s="15" t="n">
        <x:v>712</x:v>
      </x:c>
      <x:c r="AB171" s="15" t="n">
        <x:v>652</x:v>
      </x:c>
      <x:c r="AC171" s="15" t="n">
        <x:v>578</x:v>
      </x:c>
      <x:c r="AD171" s="15" t="n">
        <x:v>364</x:v>
      </x:c>
      <x:c r="AE171" s="15" t="n">
        <x:v>312</x:v>
      </x:c>
      <x:c r="AF171" s="15" t="n">
        <x:v>2521</x:v>
      </x:c>
      <x:c r="AG171" s="15" t="n">
        <x:v>951</x:v>
      </x:c>
      <x:c r="AH171" s="15" t="n">
        <x:v>1739</x:v>
      </x:c>
      <x:c r="AI171" s="15" t="n">
        <x:v>781</x:v>
      </x:c>
    </x:row>
    <x:row r="172" ht="22" customHeight="1">
      <x:c r="A172" s="1" t="str">
        <x:v>310M700US26380</x:v>
      </x:c>
      <x:c r="B172" s="1" t="str">
        <x:v>26380</x:v>
      </x:c>
      <x:c r="C172" s="1" t="str">
        <x:v>Houma-Bayou Cane-Thibodaux, LA Metro Area</x:v>
      </x:c>
      <x:c r="D172" s="5" t="n">
        <x:v>2024</x:v>
      </x:c>
      <x:c r="E172" s="1" t="str">
        <x:v>ok</x:v>
      </x:c>
      <x:c r="F172" s="15" t="n">
        <x:v>16050</x:v>
      </x:c>
      <x:c r="G172" s="15" t="n">
        <x:v>2890</x:v>
      </x:c>
      <x:c r="H172" s="15" t="n">
        <x:v>13160</x:v>
      </x:c>
      <x:c r="I172" s="15" t="n">
        <x:v>6799</x:v>
      </x:c>
      <x:c r="J172" s="15" t="n">
        <x:v>3757</x:v>
      </x:c>
      <x:c r="K172" s="15" t="n">
        <x:v>51.664134</x:v>
      </x:c>
      <x:c r="L172" s="15" t="n">
        <x:v>28.548632</x:v>
      </x:c>
      <x:c r="M172" s="15" t="n">
        <x:v>18.006231</x:v>
      </x:c>
      <x:c r="N172" s="15" t="n">
        <x:v>16050</x:v>
      </x:c>
      <x:c r="O172" s="15" t="n">
        <x:v>2297</x:v>
      </x:c>
      <x:c r="P172" s="15" t="n">
        <x:v>265</x:v>
      </x:c>
      <x:c r="Q172" s="15" t="n">
        <x:v>207</x:v>
      </x:c>
      <x:c r="R172" s="15" t="n">
        <x:v>879</x:v>
      </x:c>
      <x:c r="S172" s="15" t="n">
        <x:v>533</x:v>
      </x:c>
      <x:c r="T172" s="15" t="n">
        <x:v>2495</x:v>
      </x:c>
      <x:c r="U172" s="15" t="n">
        <x:v>1207</x:v>
      </x:c>
      <x:c r="V172" s="15" t="n">
        <x:v>1328</x:v>
      </x:c>
      <x:c r="W172" s="15" t="n">
        <x:v>826</x:v>
      </x:c>
      <x:c r="X172" s="15" t="n">
        <x:v>1394</x:v>
      </x:c>
      <x:c r="Y172" s="15" t="n">
        <x:v>750</x:v>
      </x:c>
      <x:c r="Z172" s="15" t="n">
        <x:v>866</x:v>
      </x:c>
      <x:c r="AA172" s="15" t="n">
        <x:v>520</x:v>
      </x:c>
      <x:c r="AB172" s="15" t="n">
        <x:v>1137</x:v>
      </x:c>
      <x:c r="AC172" s="15" t="n">
        <x:v>619</x:v>
      </x:c>
      <x:c r="AD172" s="15" t="n">
        <x:v>1039</x:v>
      </x:c>
      <x:c r="AE172" s="15" t="n">
        <x:v>574</x:v>
      </x:c>
      <x:c r="AF172" s="15" t="n">
        <x:v>3757</x:v>
      </x:c>
      <x:c r="AG172" s="15" t="n">
        <x:v>1522</x:v>
      </x:c>
      <x:c r="AH172" s="15" t="n">
        <x:v>2890</x:v>
      </x:c>
      <x:c r="AI172" s="15" t="n">
        <x:v>908</x:v>
      </x:c>
    </x:row>
    <x:row r="173" ht="22" customHeight="1">
      <x:c r="A173" s="1" t="str">
        <x:v>310M700US26420</x:v>
      </x:c>
      <x:c r="B173" s="1" t="str">
        <x:v>26420</x:v>
      </x:c>
      <x:c r="C173" s="1" t="str">
        <x:v>Houston-Pasadena-The Woodlands, TX Metro Area</x:v>
      </x:c>
      <x:c r="D173" s="5" t="n">
        <x:v>2024</x:v>
      </x:c>
      <x:c r="E173" s="1" t="str">
        <x:v>ok</x:v>
      </x:c>
      <x:c r="F173" s="15" t="n">
        <x:v>1086526</x:v>
      </x:c>
      <x:c r="G173" s="15" t="n">
        <x:v>63683</x:v>
      </x:c>
      <x:c r="H173" s="15" t="n">
        <x:v>1022843</x:v>
      </x:c>
      <x:c r="I173" s="15" t="n">
        <x:v>564477</x:v>
      </x:c>
      <x:c r="J173" s="15" t="n">
        <x:v>283474</x:v>
      </x:c>
      <x:c r="K173" s="15" t="n">
        <x:v>55.187062</x:v>
      </x:c>
      <x:c r="L173" s="15" t="n">
        <x:v>27.714322</x:v>
      </x:c>
      <x:c r="M173" s="15" t="n">
        <x:v>5.861157</x:v>
      </x:c>
      <x:c r="N173" s="15" t="n">
        <x:v>1086526</x:v>
      </x:c>
      <x:c r="O173" s="15" t="n">
        <x:v>16005</x:v>
      </x:c>
      <x:c r="P173" s="15" t="n">
        <x:v>30066</x:v>
      </x:c>
      <x:c r="Q173" s="15" t="n">
        <x:v>4118</x:v>
      </x:c>
      <x:c r="R173" s="15" t="n">
        <x:v>68712</x:v>
      </x:c>
      <x:c r="S173" s="15" t="n">
        <x:v>5958</x:v>
      </x:c>
      <x:c r="T173" s="15" t="n">
        <x:v>112149</x:v>
      </x:c>
      <x:c r="U173" s="15" t="n">
        <x:v>7474</x:v>
      </x:c>
      <x:c r="V173" s="15" t="n">
        <x:v>130194</x:v>
      </x:c>
      <x:c r="W173" s="15" t="n">
        <x:v>7033</x:v>
      </x:c>
      <x:c r="X173" s="15" t="n">
        <x:v>117245</x:v>
      </x:c>
      <x:c r="Y173" s="15" t="n">
        <x:v>9224</x:v>
      </x:c>
      <x:c r="Z173" s="15" t="n">
        <x:v>92781</x:v>
      </x:c>
      <x:c r="AA173" s="15" t="n">
        <x:v>6440</x:v>
      </x:c>
      <x:c r="AB173" s="15" t="n">
        <x:v>78570</x:v>
      </x:c>
      <x:c r="AC173" s="15" t="n">
        <x:v>8053</x:v>
      </x:c>
      <x:c r="AD173" s="15" t="n">
        <x:v>109652</x:v>
      </x:c>
      <x:c r="AE173" s="15" t="n">
        <x:v>8525</x:v>
      </x:c>
      <x:c r="AF173" s="15" t="n">
        <x:v>283474</x:v>
      </x:c>
      <x:c r="AG173" s="15" t="n">
        <x:v>10818</x:v>
      </x:c>
      <x:c r="AH173" s="15" t="n">
        <x:v>63683</x:v>
      </x:c>
      <x:c r="AI173" s="15" t="n">
        <x:v>7245</x:v>
      </x:c>
    </x:row>
    <x:row r="174" ht="22" customHeight="1">
      <x:c r="A174" s="1" t="str">
        <x:v>310M700US26580</x:v>
      </x:c>
      <x:c r="B174" s="1" t="str">
        <x:v>26580</x:v>
      </x:c>
      <x:c r="C174" s="1" t="str">
        <x:v>Huntington-Ashland, WV-KY-OH Metro Area</x:v>
      </x:c>
      <x:c r="D174" s="5" t="n">
        <x:v>2024</x:v>
      </x:c>
      <x:c r="E174" s="1" t="str">
        <x:v>ok</x:v>
      </x:c>
      <x:c r="F174" s="15" t="n">
        <x:v>39713</x:v>
      </x:c>
      <x:c r="G174" s="15" t="n">
        <x:v>6598</x:v>
      </x:c>
      <x:c r="H174" s="15" t="n">
        <x:v>33115</x:v>
      </x:c>
      <x:c r="I174" s="15" t="n">
        <x:v>16129</x:v>
      </x:c>
      <x:c r="J174" s="15" t="n">
        <x:v>8550</x:v>
      </x:c>
      <x:c r="K174" s="15" t="n">
        <x:v>48.706024</x:v>
      </x:c>
      <x:c r="L174" s="15" t="n">
        <x:v>25.819115</x:v>
      </x:c>
      <x:c r="M174" s="15" t="n">
        <x:v>16.614207</x:v>
      </x:c>
      <x:c r="N174" s="15" t="n">
        <x:v>39713</x:v>
      </x:c>
      <x:c r="O174" s="15" t="n">
        <x:v>3340</x:v>
      </x:c>
      <x:c r="P174" s="15" t="n">
        <x:v>1642</x:v>
      </x:c>
      <x:c r="Q174" s="15" t="n">
        <x:v>549</x:v>
      </x:c>
      <x:c r="R174" s="15" t="n">
        <x:v>4150</x:v>
      </x:c>
      <x:c r="S174" s="15" t="n">
        <x:v>1256</x:v>
      </x:c>
      <x:c r="T174" s="15" t="n">
        <x:v>4288</x:v>
      </x:c>
      <x:c r="U174" s="15" t="n">
        <x:v>1153</x:v>
      </x:c>
      <x:c r="V174" s="15" t="n">
        <x:v>3160</x:v>
      </x:c>
      <x:c r="W174" s="15" t="n">
        <x:v>940</x:v>
      </x:c>
      <x:c r="X174" s="15" t="n">
        <x:v>3746</x:v>
      </x:c>
      <x:c r="Y174" s="15" t="n">
        <x:v>1175</x:v>
      </x:c>
      <x:c r="Z174" s="15" t="n">
        <x:v>3441</x:v>
      </x:c>
      <x:c r="AA174" s="15" t="n">
        <x:v>910</x:v>
      </x:c>
      <x:c r="AB174" s="15" t="n">
        <x:v>1451</x:v>
      </x:c>
      <x:c r="AC174" s="15" t="n">
        <x:v>604</x:v>
      </x:c>
      <x:c r="AD174" s="15" t="n">
        <x:v>2687</x:v>
      </x:c>
      <x:c r="AE174" s="15" t="n">
        <x:v>803</x:v>
      </x:c>
      <x:c r="AF174" s="15" t="n">
        <x:v>8550</x:v>
      </x:c>
      <x:c r="AG174" s="15" t="n">
        <x:v>1826</x:v>
      </x:c>
      <x:c r="AH174" s="15" t="n">
        <x:v>6598</x:v>
      </x:c>
      <x:c r="AI174" s="15" t="n">
        <x:v>1458</x:v>
      </x:c>
    </x:row>
    <x:row r="175" ht="22" customHeight="1">
      <x:c r="A175" s="1" t="str">
        <x:v>310M700US26620</x:v>
      </x:c>
      <x:c r="B175" s="1" t="str">
        <x:v>26620</x:v>
      </x:c>
      <x:c r="C175" s="1" t="str">
        <x:v>Huntsville, AL Metro Area</x:v>
      </x:c>
      <x:c r="D175" s="5" t="n">
        <x:v>2024</x:v>
      </x:c>
      <x:c r="E175" s="1" t="str">
        <x:v>ok</x:v>
      </x:c>
      <x:c r="F175" s="15" t="n">
        <x:v>67156</x:v>
      </x:c>
      <x:c r="G175" s="15" t="n">
        <x:v>5478</x:v>
      </x:c>
      <x:c r="H175" s="15" t="n">
        <x:v>61678</x:v>
      </x:c>
      <x:c r="I175" s="15" t="n">
        <x:v>24757</x:v>
      </x:c>
      <x:c r="J175" s="15" t="n">
        <x:v>12918</x:v>
      </x:c>
      <x:c r="K175" s="15" t="n">
        <x:v>40.13911</x:v>
      </x:c>
      <x:c r="L175" s="15" t="n">
        <x:v>20.944259</x:v>
      </x:c>
      <x:c r="M175" s="15" t="n">
        <x:v>8.157127</x:v>
      </x:c>
      <x:c r="N175" s="15" t="n">
        <x:v>67156</x:v>
      </x:c>
      <x:c r="O175" s="15" t="n">
        <x:v>4444</x:v>
      </x:c>
      <x:c r="P175" s="15" t="n">
        <x:v>2683</x:v>
      </x:c>
      <x:c r="Q175" s="15" t="n">
        <x:v>1063</x:v>
      </x:c>
      <x:c r="R175" s="15" t="n">
        <x:v>6579</x:v>
      </x:c>
      <x:c r="S175" s="15" t="n">
        <x:v>1624</x:v>
      </x:c>
      <x:c r="T175" s="15" t="n">
        <x:v>9980</x:v>
      </x:c>
      <x:c r="U175" s="15" t="n">
        <x:v>2261</x:v>
      </x:c>
      <x:c r="V175" s="15" t="n">
        <x:v>8188</x:v>
      </x:c>
      <x:c r="W175" s="15" t="n">
        <x:v>2137</x:v>
      </x:c>
      <x:c r="X175" s="15" t="n">
        <x:v>9491</x:v>
      </x:c>
      <x:c r="Y175" s="15" t="n">
        <x:v>2364</x:v>
      </x:c>
      <x:c r="Z175" s="15" t="n">
        <x:v>3752</x:v>
      </x:c>
      <x:c r="AA175" s="15" t="n">
        <x:v>1212</x:v>
      </x:c>
      <x:c r="AB175" s="15" t="n">
        <x:v>3556</x:v>
      </x:c>
      <x:c r="AC175" s="15" t="n">
        <x:v>1119</x:v>
      </x:c>
      <x:c r="AD175" s="15" t="n">
        <x:v>4531</x:v>
      </x:c>
      <x:c r="AE175" s="15" t="n">
        <x:v>1374</x:v>
      </x:c>
      <x:c r="AF175" s="15" t="n">
        <x:v>12918</x:v>
      </x:c>
      <x:c r="AG175" s="15" t="n">
        <x:v>2580</x:v>
      </x:c>
      <x:c r="AH175" s="15" t="n">
        <x:v>5478</x:v>
      </x:c>
      <x:c r="AI175" s="15" t="n">
        <x:v>1680</x:v>
      </x:c>
    </x:row>
    <x:row r="176" ht="22" customHeight="1">
      <x:c r="A176" s="1" t="str">
        <x:v>310M700US26820</x:v>
      </x:c>
      <x:c r="B176" s="1" t="str">
        <x:v>26820</x:v>
      </x:c>
      <x:c r="C176" s="1" t="str">
        <x:v>Idaho Falls, ID Metro Area</x:v>
      </x:c>
      <x:c r="D176" s="5" t="n">
        <x:v>2024</x:v>
      </x:c>
      <x:c r="E176" s="1" t="str">
        <x:v>ok</x:v>
      </x:c>
      <x:c r="F176" s="15" t="n">
        <x:v>13653</x:v>
      </x:c>
      <x:c r="G176" s="15" t="n">
        <x:v>1148</x:v>
      </x:c>
      <x:c r="H176" s="15" t="n">
        <x:v>12505</x:v>
      </x:c>
      <x:c r="I176" s="15" t="n">
        <x:v>5167</x:v>
      </x:c>
      <x:c r="J176" s="15" t="n">
        <x:v>1844</x:v>
      </x:c>
      <x:c r="K176" s="15" t="n">
        <x:v>41.319472</x:v>
      </x:c>
      <x:c r="L176" s="15" t="n">
        <x:v>14.746102</x:v>
      </x:c>
      <x:c r="M176" s="15" t="n">
        <x:v>8.408408</x:v>
      </x:c>
      <x:c r="N176" s="15" t="n">
        <x:v>13653</x:v>
      </x:c>
      <x:c r="O176" s="15" t="n">
        <x:v>1582</x:v>
      </x:c>
      <x:c r="P176" s="15" t="n">
        <x:v>623</x:v>
      </x:c>
      <x:c r="Q176" s="15" t="n">
        <x:v>426</x:v>
      </x:c>
      <x:c r="R176" s="15" t="n">
        <x:v>1141</x:v>
      </x:c>
      <x:c r="S176" s="15" t="n">
        <x:v>490</x:v>
      </x:c>
      <x:c r="T176" s="15" t="n">
        <x:v>1833</x:v>
      </x:c>
      <x:c r="U176" s="15" t="n">
        <x:v>651</x:v>
      </x:c>
      <x:c r="V176" s="15" t="n">
        <x:v>2258</x:v>
      </x:c>
      <x:c r="W176" s="15" t="n">
        <x:v>760</x:v>
      </x:c>
      <x:c r="X176" s="15" t="n">
        <x:v>1483</x:v>
      </x:c>
      <x:c r="Y176" s="15" t="n">
        <x:v>526</x:v>
      </x:c>
      <x:c r="Z176" s="15" t="n">
        <x:v>752</x:v>
      </x:c>
      <x:c r="AA176" s="15" t="n">
        <x:v>397</x:v>
      </x:c>
      <x:c r="AB176" s="15" t="n">
        <x:v>1328</x:v>
      </x:c>
      <x:c r="AC176" s="15" t="n">
        <x:v>568</x:v>
      </x:c>
      <x:c r="AD176" s="15" t="n">
        <x:v>1243</x:v>
      </x:c>
      <x:c r="AE176" s="15" t="n">
        <x:v>790</x:v>
      </x:c>
      <x:c r="AF176" s="15" t="n">
        <x:v>1844</x:v>
      </x:c>
      <x:c r="AG176" s="15" t="n">
        <x:v>737</x:v>
      </x:c>
      <x:c r="AH176" s="15" t="n">
        <x:v>1148</x:v>
      </x:c>
      <x:c r="AI176" s="15" t="n">
        <x:v>508</x:v>
      </x:c>
    </x:row>
    <x:row r="177" ht="22" customHeight="1">
      <x:c r="A177" s="1" t="str">
        <x:v>310M700US26900</x:v>
      </x:c>
      <x:c r="B177" s="1" t="str">
        <x:v>26900</x:v>
      </x:c>
      <x:c r="C177" s="1" t="str">
        <x:v>Indianapolis-Carmel-Greenwood, IN Metro Area</x:v>
      </x:c>
      <x:c r="D177" s="5" t="n">
        <x:v>2024</x:v>
      </x:c>
      <x:c r="E177" s="1" t="str">
        <x:v>ok</x:v>
      </x:c>
      <x:c r="F177" s="15" t="n">
        <x:v>289397</x:v>
      </x:c>
      <x:c r="G177" s="15" t="n">
        <x:v>12707</x:v>
      </x:c>
      <x:c r="H177" s="15" t="n">
        <x:v>276690</x:v>
      </x:c>
      <x:c r="I177" s="15" t="n">
        <x:v>133126</x:v>
      </x:c>
      <x:c r="J177" s="15" t="n">
        <x:v>67444</x:v>
      </x:c>
      <x:c r="K177" s="15" t="n">
        <x:v>48.113774</x:v>
      </x:c>
      <x:c r="L177" s="15" t="n">
        <x:v>24.375294</x:v>
      </x:c>
      <x:c r="M177" s="15" t="n">
        <x:v>4.390854</x:v>
      </x:c>
      <x:c r="N177" s="15" t="n">
        <x:v>289397</x:v>
      </x:c>
      <x:c r="O177" s="15" t="n">
        <x:v>8230</x:v>
      </x:c>
      <x:c r="P177" s="15" t="n">
        <x:v>9833</x:v>
      </x:c>
      <x:c r="Q177" s="15" t="n">
        <x:v>2169</x:v>
      </x:c>
      <x:c r="R177" s="15" t="n">
        <x:v>24388</x:v>
      </x:c>
      <x:c r="S177" s="15" t="n">
        <x:v>3205</x:v>
      </x:c>
      <x:c r="T177" s="15" t="n">
        <x:v>37432</x:v>
      </x:c>
      <x:c r="U177" s="15" t="n">
        <x:v>4357</x:v>
      </x:c>
      <x:c r="V177" s="15" t="n">
        <x:v>38306</x:v>
      </x:c>
      <x:c r="W177" s="15" t="n">
        <x:v>4062</x:v>
      </x:c>
      <x:c r="X177" s="15" t="n">
        <x:v>33605</x:v>
      </x:c>
      <x:c r="Y177" s="15" t="n">
        <x:v>3795</x:v>
      </x:c>
      <x:c r="Z177" s="15" t="n">
        <x:v>22212</x:v>
      </x:c>
      <x:c r="AA177" s="15" t="n">
        <x:v>2961</x:v>
      </x:c>
      <x:c r="AB177" s="15" t="n">
        <x:v>16459</x:v>
      </x:c>
      <x:c r="AC177" s="15" t="n">
        <x:v>2923</x:v>
      </x:c>
      <x:c r="AD177" s="15" t="n">
        <x:v>27011</x:v>
      </x:c>
      <x:c r="AE177" s="15" t="n">
        <x:v>4107</x:v>
      </x:c>
      <x:c r="AF177" s="15" t="n">
        <x:v>67444</x:v>
      </x:c>
      <x:c r="AG177" s="15" t="n">
        <x:v>6775</x:v>
      </x:c>
      <x:c r="AH177" s="15" t="n">
        <x:v>12707</x:v>
      </x:c>
      <x:c r="AI177" s="15" t="n">
        <x:v>2377</x:v>
      </x:c>
    </x:row>
    <x:row r="178" ht="22" customHeight="1">
      <x:c r="A178" s="1" t="str">
        <x:v>310M700US26980</x:v>
      </x:c>
      <x:c r="B178" s="1" t="str">
        <x:v>26980</x:v>
      </x:c>
      <x:c r="C178" s="1" t="str">
        <x:v>Iowa City, IA Metro Area</x:v>
      </x:c>
      <x:c r="D178" s="5" t="n">
        <x:v>2024</x:v>
      </x:c>
      <x:c r="E178" s="1" t="str">
        <x:v>ok</x:v>
      </x:c>
      <x:c r="F178" s="15" t="n">
        <x:v>28225</x:v>
      </x:c>
      <x:c r="G178" s="15" t="n">
        <x:v>1400</x:v>
      </x:c>
      <x:c r="H178" s="15" t="n">
        <x:v>26825</x:v>
      </x:c>
      <x:c r="I178" s="15" t="n">
        <x:v>14886</x:v>
      </x:c>
      <x:c r="J178" s="15" t="n">
        <x:v>9381</x:v>
      </x:c>
      <x:c r="K178" s="15" t="n">
        <x:v>55.49301</x:v>
      </x:c>
      <x:c r="L178" s="15" t="n">
        <x:v>34.971109</x:v>
      </x:c>
      <x:c r="M178" s="15" t="n">
        <x:v>4.960142</x:v>
      </x:c>
      <x:c r="N178" s="15" t="n">
        <x:v>28225</x:v>
      </x:c>
      <x:c r="O178" s="15" t="n">
        <x:v>1838</x:v>
      </x:c>
      <x:c r="P178" s="15" t="n">
        <x:v>865</x:v>
      </x:c>
      <x:c r="Q178" s="15" t="n">
        <x:v>421</x:v>
      </x:c>
      <x:c r="R178" s="15" t="n">
        <x:v>2413</x:v>
      </x:c>
      <x:c r="S178" s="15" t="n">
        <x:v>791</x:v>
      </x:c>
      <x:c r="T178" s="15" t="n">
        <x:v>3527</x:v>
      </x:c>
      <x:c r="U178" s="15" t="n">
        <x:v>1007</x:v>
      </x:c>
      <x:c r="V178" s="15" t="n">
        <x:v>2847</x:v>
      </x:c>
      <x:c r="W178" s="15" t="n">
        <x:v>892</x:v>
      </x:c>
      <x:c r="X178" s="15" t="n">
        <x:v>2287</x:v>
      </x:c>
      <x:c r="Y178" s="15" t="n">
        <x:v>827</x:v>
      </x:c>
      <x:c r="Z178" s="15" t="n">
        <x:v>2350</x:v>
      </x:c>
      <x:c r="AA178" s="15" t="n">
        <x:v>906</x:v>
      </x:c>
      <x:c r="AB178" s="15" t="n">
        <x:v>587</x:v>
      </x:c>
      <x:c r="AC178" s="15" t="n">
        <x:v>499</x:v>
      </x:c>
      <x:c r="AD178" s="15" t="n">
        <x:v>2568</x:v>
      </x:c>
      <x:c r="AE178" s="15" t="n">
        <x:v>915</x:v>
      </x:c>
      <x:c r="AF178" s="15" t="n">
        <x:v>9381</x:v>
      </x:c>
      <x:c r="AG178" s="15" t="n">
        <x:v>1660</x:v>
      </x:c>
      <x:c r="AH178" s="15" t="n">
        <x:v>1400</x:v>
      </x:c>
      <x:c r="AI178" s="15" t="n">
        <x:v>624</x:v>
      </x:c>
    </x:row>
    <x:row r="179" ht="22" customHeight="1">
      <x:c r="A179" s="1" t="str">
        <x:v>310M700US27060</x:v>
      </x:c>
      <x:c r="B179" s="1" t="str">
        <x:v>27060</x:v>
      </x:c>
      <x:c r="C179" s="1" t="str">
        <x:v>Ithaca, NY Metro Area</x:v>
      </x:c>
      <x:c r="D179" s="5" t="n">
        <x:v>2024</x:v>
      </x:c>
      <x:c r="E179" s="1" t="str">
        <x:v>ok</x:v>
      </x:c>
      <x:c r="F179" s="15" t="n">
        <x:v>18846</x:v>
      </x:c>
      <x:c r="G179" s="15" t="n">
        <x:v>1094</x:v>
      </x:c>
      <x:c r="H179" s="15" t="n">
        <x:v>17752</x:v>
      </x:c>
      <x:c r="I179" s="15" t="n">
        <x:v>9951</x:v>
      </x:c>
      <x:c r="J179" s="15" t="n">
        <x:v>6126</x:v>
      </x:c>
      <x:c r="K179" s="15" t="n">
        <x:v>56.055656</x:v>
      </x:c>
      <x:c r="L179" s="15" t="n">
        <x:v>34.508788</x:v>
      </x:c>
      <x:c r="M179" s="15" t="n">
        <x:v>5.804945</x:v>
      </x:c>
      <x:c r="N179" s="15" t="n">
        <x:v>18846</x:v>
      </x:c>
      <x:c r="O179" s="15" t="n">
        <x:v>2038</x:v>
      </x:c>
      <x:c r="P179" s="15" t="n">
        <x:v>652</x:v>
      </x:c>
      <x:c r="Q179" s="15" t="n">
        <x:v>415</x:v>
      </x:c>
      <x:c r="R179" s="15" t="n">
        <x:v>1445</x:v>
      </x:c>
      <x:c r="S179" s="15" t="n">
        <x:v>629</x:v>
      </x:c>
      <x:c r="T179" s="15" t="n">
        <x:v>2697</x:v>
      </x:c>
      <x:c r="U179" s="15" t="n">
        <x:v>1111</x:v>
      </x:c>
      <x:c r="V179" s="15" t="n">
        <x:v>1509</x:v>
      </x:c>
      <x:c r="W179" s="15" t="n">
        <x:v>606</x:v>
      </x:c>
      <x:c r="X179" s="15" t="n">
        <x:v>1498</x:v>
      </x:c>
      <x:c r="Y179" s="15" t="n">
        <x:v>805</x:v>
      </x:c>
      <x:c r="Z179" s="15" t="n">
        <x:v>1663</x:v>
      </x:c>
      <x:c r="AA179" s="15" t="n">
        <x:v>613</x:v>
      </x:c>
      <x:c r="AB179" s="15" t="n">
        <x:v>757</x:v>
      </x:c>
      <x:c r="AC179" s="15" t="n">
        <x:v>430</x:v>
      </x:c>
      <x:c r="AD179" s="15" t="n">
        <x:v>1405</x:v>
      </x:c>
      <x:c r="AE179" s="15" t="n">
        <x:v>675</x:v>
      </x:c>
      <x:c r="AF179" s="15" t="n">
        <x:v>6126</x:v>
      </x:c>
      <x:c r="AG179" s="15" t="n">
        <x:v>1670</x:v>
      </x:c>
      <x:c r="AH179" s="15" t="n">
        <x:v>1094</x:v>
      </x:c>
      <x:c r="AI179" s="15" t="n">
        <x:v>876</x:v>
      </x:c>
    </x:row>
    <x:row r="180" ht="22" customHeight="1">
      <x:c r="A180" s="1" t="str">
        <x:v>310M700US27100</x:v>
      </x:c>
      <x:c r="B180" s="1" t="str">
        <x:v>27100</x:v>
      </x:c>
      <x:c r="C180" s="1" t="str">
        <x:v>Jackson, MI Metro Area</x:v>
      </x:c>
      <x:c r="D180" s="5" t="n">
        <x:v>2024</x:v>
      </x:c>
      <x:c r="E180" s="1" t="str">
        <x:v>ok</x:v>
      </x:c>
      <x:c r="F180" s="15" t="n">
        <x:v>15435</x:v>
      </x:c>
      <x:c r="G180" s="15" t="n">
        <x:v>1071</x:v>
      </x:c>
      <x:c r="H180" s="15" t="n">
        <x:v>14364</x:v>
      </x:c>
      <x:c r="I180" s="15" t="n">
        <x:v>6498</x:v>
      </x:c>
      <x:c r="J180" s="15" t="n">
        <x:v>3018</x:v>
      </x:c>
      <x:c r="K180" s="15" t="n">
        <x:v>45.238095</x:v>
      </x:c>
      <x:c r="L180" s="15" t="n">
        <x:v>21.01086</x:v>
      </x:c>
      <x:c r="M180" s="15" t="n">
        <x:v>6.938776</x:v>
      </x:c>
      <x:c r="N180" s="15" t="n">
        <x:v>15435</x:v>
      </x:c>
      <x:c r="O180" s="15" t="n">
        <x:v>1588</x:v>
      </x:c>
      <x:c r="P180" s="15" t="n">
        <x:v>662</x:v>
      </x:c>
      <x:c r="Q180" s="15" t="n">
        <x:v>411</x:v>
      </x:c>
      <x:c r="R180" s="15" t="n">
        <x:v>1522</x:v>
      </x:c>
      <x:c r="S180" s="15" t="n">
        <x:v>767</x:v>
      </x:c>
      <x:c r="T180" s="15" t="n">
        <x:v>2253</x:v>
      </x:c>
      <x:c r="U180" s="15" t="n">
        <x:v>785</x:v>
      </x:c>
      <x:c r="V180" s="15" t="n">
        <x:v>1632</x:v>
      </x:c>
      <x:c r="W180" s="15" t="n">
        <x:v>663</x:v>
      </x:c>
      <x:c r="X180" s="15" t="n">
        <x:v>1797</x:v>
      </x:c>
      <x:c r="Y180" s="15" t="n">
        <x:v>727</x:v>
      </x:c>
      <x:c r="Z180" s="15" t="n">
        <x:v>1407</x:v>
      </x:c>
      <x:c r="AA180" s="15" t="n">
        <x:v>580</x:v>
      </x:c>
      <x:c r="AB180" s="15" t="n">
        <x:v>611</x:v>
      </x:c>
      <x:c r="AC180" s="15" t="n">
        <x:v>515</x:v>
      </x:c>
      <x:c r="AD180" s="15" t="n">
        <x:v>1462</x:v>
      </x:c>
      <x:c r="AE180" s="15" t="n">
        <x:v>624</x:v>
      </x:c>
      <x:c r="AF180" s="15" t="n">
        <x:v>3018</x:v>
      </x:c>
      <x:c r="AG180" s="15" t="n">
        <x:v>873</x:v>
      </x:c>
      <x:c r="AH180" s="15" t="n">
        <x:v>1071</x:v>
      </x:c>
      <x:c r="AI180" s="15" t="n">
        <x:v>503</x:v>
      </x:c>
    </x:row>
    <x:row r="181" ht="22" customHeight="1">
      <x:c r="A181" s="1" t="str">
        <x:v>310M700US27140</x:v>
      </x:c>
      <x:c r="B181" s="1" t="str">
        <x:v>27140</x:v>
      </x:c>
      <x:c r="C181" s="1" t="str">
        <x:v>Jackson, MS Metro Area</x:v>
      </x:c>
      <x:c r="D181" s="5" t="n">
        <x:v>2024</x:v>
      </x:c>
      <x:c r="E181" s="1" t="str">
        <x:v>ok</x:v>
      </x:c>
      <x:c r="F181" s="15" t="n">
        <x:v>74650</x:v>
      </x:c>
      <x:c r="G181" s="15" t="n">
        <x:v>7082</x:v>
      </x:c>
      <x:c r="H181" s="15" t="n">
        <x:v>67568</x:v>
      </x:c>
      <x:c r="I181" s="15" t="n">
        <x:v>34052</x:v>
      </x:c>
      <x:c r="J181" s="15" t="n">
        <x:v>16873</x:v>
      </x:c>
      <x:c r="K181" s="15" t="n">
        <x:v>50.396637</x:v>
      </x:c>
      <x:c r="L181" s="15" t="n">
        <x:v>24.97188</x:v>
      </x:c>
      <x:c r="M181" s="15" t="n">
        <x:v>9.486939</x:v>
      </x:c>
      <x:c r="N181" s="15" t="n">
        <x:v>74650</x:v>
      </x:c>
      <x:c r="O181" s="15" t="n">
        <x:v>3996</x:v>
      </x:c>
      <x:c r="P181" s="15" t="n">
        <x:v>3490</x:v>
      </x:c>
      <x:c r="Q181" s="15" t="n">
        <x:v>1329</x:v>
      </x:c>
      <x:c r="R181" s="15" t="n">
        <x:v>7190</x:v>
      </x:c>
      <x:c r="S181" s="15" t="n">
        <x:v>1842</x:v>
      </x:c>
      <x:c r="T181" s="15" t="n">
        <x:v>8441</x:v>
      </x:c>
      <x:c r="U181" s="15" t="n">
        <x:v>2152</x:v>
      </x:c>
      <x:c r="V181" s="15" t="n">
        <x:v>5748</x:v>
      </x:c>
      <x:c r="W181" s="15" t="n">
        <x:v>1777</x:v>
      </x:c>
      <x:c r="X181" s="15" t="n">
        <x:v>8647</x:v>
      </x:c>
      <x:c r="Y181" s="15" t="n">
        <x:v>2286</x:v>
      </x:c>
      <x:c r="Z181" s="15" t="n">
        <x:v>6419</x:v>
      </x:c>
      <x:c r="AA181" s="15" t="n">
        <x:v>2050</x:v>
      </x:c>
      <x:c r="AB181" s="15" t="n">
        <x:v>3758</x:v>
      </x:c>
      <x:c r="AC181" s="15" t="n">
        <x:v>1161</x:v>
      </x:c>
      <x:c r="AD181" s="15" t="n">
        <x:v>7002</x:v>
      </x:c>
      <x:c r="AE181" s="15" t="n">
        <x:v>1875</x:v>
      </x:c>
      <x:c r="AF181" s="15" t="n">
        <x:v>16873</x:v>
      </x:c>
      <x:c r="AG181" s="15" t="n">
        <x:v>2843</x:v>
      </x:c>
      <x:c r="AH181" s="15" t="n">
        <x:v>7082</x:v>
      </x:c>
      <x:c r="AI181" s="15" t="n">
        <x:v>1615</x:v>
      </x:c>
    </x:row>
    <x:row r="182" ht="22" customHeight="1">
      <x:c r="A182" s="1" t="str">
        <x:v>310M700US27180</x:v>
      </x:c>
      <x:c r="B182" s="1" t="str">
        <x:v>27180</x:v>
      </x:c>
      <x:c r="C182" s="1" t="str">
        <x:v>Jackson, TN Metro Area</x:v>
      </x:c>
      <x:c r="D182" s="5" t="n">
        <x:v>2024</x:v>
      </x:c>
      <x:c r="E182" s="1" t="str">
        <x:v>ok</x:v>
      </x:c>
      <x:c r="F182" s="15" t="n">
        <x:v>23228</x:v>
      </x:c>
      <x:c r="G182" s="15" t="n">
        <x:v>2860</x:v>
      </x:c>
      <x:c r="H182" s="15" t="n">
        <x:v>20368</x:v>
      </x:c>
      <x:c r="I182" s="15" t="n">
        <x:v>9967</x:v>
      </x:c>
      <x:c r="J182" s="15" t="n">
        <x:v>4812</x:v>
      </x:c>
      <x:c r="K182" s="15" t="n">
        <x:v>48.934603</x:v>
      </x:c>
      <x:c r="L182" s="15" t="n">
        <x:v>23.625295</x:v>
      </x:c>
      <x:c r="M182" s="15" t="n">
        <x:v>12.312726</x:v>
      </x:c>
      <x:c r="N182" s="15" t="n">
        <x:v>23228</x:v>
      </x:c>
      <x:c r="O182" s="15" t="n">
        <x:v>2442</x:v>
      </x:c>
      <x:c r="P182" s="15" t="n">
        <x:v>940</x:v>
      </x:c>
      <x:c r="Q182" s="15" t="n">
        <x:v>686</x:v>
      </x:c>
      <x:c r="R182" s="15" t="n">
        <x:v>1943</x:v>
      </x:c>
      <x:c r="S182" s="15" t="n">
        <x:v>923</x:v>
      </x:c>
      <x:c r="T182" s="15" t="n">
        <x:v>2621</x:v>
      </x:c>
      <x:c r="U182" s="15" t="n">
        <x:v>905</x:v>
      </x:c>
      <x:c r="V182" s="15" t="n">
        <x:v>1746</x:v>
      </x:c>
      <x:c r="W182" s="15" t="n">
        <x:v>756</x:v>
      </x:c>
      <x:c r="X182" s="15" t="n">
        <x:v>3151</x:v>
      </x:c>
      <x:c r="Y182" s="15" t="n">
        <x:v>1656</x:v>
      </x:c>
      <x:c r="Z182" s="15" t="n">
        <x:v>2205</x:v>
      </x:c>
      <x:c r="AA182" s="15" t="n">
        <x:v>940</x:v>
      </x:c>
      <x:c r="AB182" s="15" t="n">
        <x:v>991</x:v>
      </x:c>
      <x:c r="AC182" s="15" t="n">
        <x:v>596</x:v>
      </x:c>
      <x:c r="AD182" s="15" t="n">
        <x:v>1959</x:v>
      </x:c>
      <x:c r="AE182" s="15" t="n">
        <x:v>912</x:v>
      </x:c>
      <x:c r="AF182" s="15" t="n">
        <x:v>4812</x:v>
      </x:c>
      <x:c r="AG182" s="15" t="n">
        <x:v>1401</x:v>
      </x:c>
      <x:c r="AH182" s="15" t="n">
        <x:v>2860</x:v>
      </x:c>
      <x:c r="AI182" s="15" t="n">
        <x:v>1008</x:v>
      </x:c>
    </x:row>
    <x:row r="183" ht="22" customHeight="1">
      <x:c r="A183" s="1" t="str">
        <x:v>310M700US27260</x:v>
      </x:c>
      <x:c r="B183" s="1" t="str">
        <x:v>27260</x:v>
      </x:c>
      <x:c r="C183" s="1" t="str">
        <x:v>Jacksonville, FL Metro Area</x:v>
      </x:c>
      <x:c r="D183" s="5" t="n">
        <x:v>2024</x:v>
      </x:c>
      <x:c r="E183" s="1" t="str">
        <x:v>ok</x:v>
      </x:c>
      <x:c r="F183" s="15" t="n">
        <x:v>230447</x:v>
      </x:c>
      <x:c r="G183" s="15" t="n">
        <x:v>10782</x:v>
      </x:c>
      <x:c r="H183" s="15" t="n">
        <x:v>219665</x:v>
      </x:c>
      <x:c r="I183" s="15" t="n">
        <x:v>127131</x:v>
      </x:c>
      <x:c r="J183" s="15" t="n">
        <x:v>60145</x:v>
      </x:c>
      <x:c r="K183" s="15" t="n">
        <x:v>57.874946</x:v>
      </x:c>
      <x:c r="L183" s="15" t="n">
        <x:v>27.380329</x:v>
      </x:c>
      <x:c r="M183" s="15" t="n">
        <x:v>4.678733</x:v>
      </x:c>
      <x:c r="N183" s="15" t="n">
        <x:v>230447</x:v>
      </x:c>
      <x:c r="O183" s="15" t="n">
        <x:v>8199</x:v>
      </x:c>
      <x:c r="P183" s="15" t="n">
        <x:v>7446</x:v>
      </x:c>
      <x:c r="Q183" s="15" t="n">
        <x:v>2118</x:v>
      </x:c>
      <x:c r="R183" s="15" t="n">
        <x:v>10375</x:v>
      </x:c>
      <x:c r="S183" s="15" t="n">
        <x:v>2092</x:v>
      </x:c>
      <x:c r="T183" s="15" t="n">
        <x:v>24267</x:v>
      </x:c>
      <x:c r="U183" s="15" t="n">
        <x:v>3968</x:v>
      </x:c>
      <x:c r="V183" s="15" t="n">
        <x:v>22445</x:v>
      </x:c>
      <x:c r="W183" s="15" t="n">
        <x:v>3644</x:v>
      </x:c>
      <x:c r="X183" s="15" t="n">
        <x:v>28001</x:v>
      </x:c>
      <x:c r="Y183" s="15" t="n">
        <x:v>4196</x:v>
      </x:c>
      <x:c r="Z183" s="15" t="n">
        <x:v>26877</x:v>
      </x:c>
      <x:c r="AA183" s="15" t="n">
        <x:v>4072</x:v>
      </x:c>
      <x:c r="AB183" s="15" t="n">
        <x:v>15504</x:v>
      </x:c>
      <x:c r="AC183" s="15" t="n">
        <x:v>2682</x:v>
      </x:c>
      <x:c r="AD183" s="15" t="n">
        <x:v>24605</x:v>
      </x:c>
      <x:c r="AE183" s="15" t="n">
        <x:v>3457</x:v>
      </x:c>
      <x:c r="AF183" s="15" t="n">
        <x:v>60145</x:v>
      </x:c>
      <x:c r="AG183" s="15" t="n">
        <x:v>6192</x:v>
      </x:c>
      <x:c r="AH183" s="15" t="n">
        <x:v>10782</x:v>
      </x:c>
      <x:c r="AI183" s="15" t="n">
        <x:v>1984</x:v>
      </x:c>
    </x:row>
    <x:row r="184" ht="22" customHeight="1">
      <x:c r="A184" s="1" t="str">
        <x:v>310M700US27340</x:v>
      </x:c>
      <x:c r="B184" s="1" t="str">
        <x:v>27340</x:v>
      </x:c>
      <x:c r="C184" s="1" t="str">
        <x:v>Jacksonville, NC Metro Area</x:v>
      </x:c>
      <x:c r="D184" s="5" t="n">
        <x:v>2024</x:v>
      </x:c>
      <x:c r="E184" s="1" t="str">
        <x:v>ok</x:v>
      </x:c>
      <x:c r="F184" s="15" t="n">
        <x:v>28598</x:v>
      </x:c>
      <x:c r="G184" s="15" t="n">
        <x:v>2689</x:v>
      </x:c>
      <x:c r="H184" s="15" t="n">
        <x:v>25909</x:v>
      </x:c>
      <x:c r="I184" s="15" t="n">
        <x:v>14973</x:v>
      </x:c>
      <x:c r="J184" s="15" t="n">
        <x:v>5662</x:v>
      </x:c>
      <x:c r="K184" s="15" t="n">
        <x:v>57.790729</x:v>
      </x:c>
      <x:c r="L184" s="15" t="n">
        <x:v>21.85341</x:v>
      </x:c>
      <x:c r="M184" s="15" t="n">
        <x:v>9.402755</x:v>
      </x:c>
      <x:c r="N184" s="15" t="n">
        <x:v>28598</x:v>
      </x:c>
      <x:c r="O184" s="15" t="n">
        <x:v>2901</x:v>
      </x:c>
      <x:c r="P184" s="15" t="n">
        <x:v>1298</x:v>
      </x:c>
      <x:c r="Q184" s="15" t="n">
        <x:v>1094</x:v>
      </x:c>
      <x:c r="R184" s="15" t="n">
        <x:v>1840</x:v>
      </x:c>
      <x:c r="S184" s="15" t="n">
        <x:v>835</x:v>
      </x:c>
      <x:c r="T184" s="15" t="n">
        <x:v>2316</x:v>
      </x:c>
      <x:c r="U184" s="15" t="n">
        <x:v>1169</x:v>
      </x:c>
      <x:c r="V184" s="15" t="n">
        <x:v>3217</x:v>
      </x:c>
      <x:c r="W184" s="15" t="n">
        <x:v>1121</x:v>
      </x:c>
      <x:c r="X184" s="15" t="n">
        <x:v>2265</x:v>
      </x:c>
      <x:c r="Y184" s="15" t="n">
        <x:v>884</x:v>
      </x:c>
      <x:c r="Z184" s="15" t="n">
        <x:v>2541</x:v>
      </x:c>
      <x:c r="AA184" s="15" t="n">
        <x:v>1138</x:v>
      </x:c>
      <x:c r="AB184" s="15" t="n">
        <x:v>2746</x:v>
      </x:c>
      <x:c r="AC184" s="15" t="n">
        <x:v>1022</x:v>
      </x:c>
      <x:c r="AD184" s="15" t="n">
        <x:v>4024</x:v>
      </x:c>
      <x:c r="AE184" s="15" t="n">
        <x:v>1669</x:v>
      </x:c>
      <x:c r="AF184" s="15" t="n">
        <x:v>5662</x:v>
      </x:c>
      <x:c r="AG184" s="15" t="n">
        <x:v>1597</x:v>
      </x:c>
      <x:c r="AH184" s="15" t="n">
        <x:v>2689</x:v>
      </x:c>
      <x:c r="AI184" s="15" t="n">
        <x:v>1096</x:v>
      </x:c>
    </x:row>
    <x:row r="185" ht="22" customHeight="1">
      <x:c r="A185" s="1" t="str">
        <x:v>310M700US27500</x:v>
      </x:c>
      <x:c r="B185" s="1" t="str">
        <x:v>27500</x:v>
      </x:c>
      <x:c r="C185" s="1" t="str">
        <x:v>Janesville-Beloit, WI Metro Area</x:v>
      </x:c>
      <x:c r="D185" s="5" t="n">
        <x:v>2024</x:v>
      </x:c>
      <x:c r="E185" s="1" t="str">
        <x:v>ok</x:v>
      </x:c>
      <x:c r="F185" s="15" t="n">
        <x:v>19105</x:v>
      </x:c>
      <x:c r="G185" s="15" t="n">
        <x:v>1515</x:v>
      </x:c>
      <x:c r="H185" s="15" t="n">
        <x:v>17590</x:v>
      </x:c>
      <x:c r="I185" s="15" t="n">
        <x:v>7971</x:v>
      </x:c>
      <x:c r="J185" s="15" t="n">
        <x:v>3851</x:v>
      </x:c>
      <x:c r="K185" s="15" t="n">
        <x:v>45.31552</x:v>
      </x:c>
      <x:c r="L185" s="15" t="n">
        <x:v>21.893121</x:v>
      </x:c>
      <x:c r="M185" s="15" t="n">
        <x:v>7.929861</x:v>
      </x:c>
      <x:c r="N185" s="15" t="n">
        <x:v>19105</x:v>
      </x:c>
      <x:c r="O185" s="15" t="n">
        <x:v>1722</x:v>
      </x:c>
      <x:c r="P185" s="15" t="n">
        <x:v>338</x:v>
      </x:c>
      <x:c r="Q185" s="15" t="n">
        <x:v>206</x:v>
      </x:c>
      <x:c r="R185" s="15" t="n">
        <x:v>1572</x:v>
      </x:c>
      <x:c r="S185" s="15" t="n">
        <x:v>693</x:v>
      </x:c>
      <x:c r="T185" s="15" t="n">
        <x:v>3518</x:v>
      </x:c>
      <x:c r="U185" s="15" t="n">
        <x:v>1497</x:v>
      </x:c>
      <x:c r="V185" s="15" t="n">
        <x:v>2340</x:v>
      </x:c>
      <x:c r="W185" s="15" t="n">
        <x:v>728</x:v>
      </x:c>
      <x:c r="X185" s="15" t="n">
        <x:v>1851</x:v>
      </x:c>
      <x:c r="Y185" s="15" t="n">
        <x:v>834</x:v>
      </x:c>
      <x:c r="Z185" s="15" t="n">
        <x:v>811</x:v>
      </x:c>
      <x:c r="AA185" s="15" t="n">
        <x:v>375</x:v>
      </x:c>
      <x:c r="AB185" s="15" t="n">
        <x:v>1968</x:v>
      </x:c>
      <x:c r="AC185" s="15" t="n">
        <x:v>1103</x:v>
      </x:c>
      <x:c r="AD185" s="15" t="n">
        <x:v>1341</x:v>
      </x:c>
      <x:c r="AE185" s="15" t="n">
        <x:v>488</x:v>
      </x:c>
      <x:c r="AF185" s="15" t="n">
        <x:v>3851</x:v>
      </x:c>
      <x:c r="AG185" s="15" t="n">
        <x:v>1179</x:v>
      </x:c>
      <x:c r="AH185" s="15" t="n">
        <x:v>1515</x:v>
      </x:c>
      <x:c r="AI185" s="15" t="n">
        <x:v>831</x:v>
      </x:c>
    </x:row>
    <x:row r="186" ht="22" customHeight="1">
      <x:c r="A186" s="1" t="str">
        <x:v>310M700US27620</x:v>
      </x:c>
      <x:c r="B186" s="1" t="str">
        <x:v>27620</x:v>
      </x:c>
      <x:c r="C186" s="1" t="str">
        <x:v>Jefferson City, MO Metro Area</x:v>
      </x:c>
      <x:c r="D186" s="5" t="n">
        <x:v>2024</x:v>
      </x:c>
      <x:c r="E186" s="1" t="str">
        <x:v>ok</x:v>
      </x:c>
      <x:c r="F186" s="15" t="n">
        <x:v>18946</x:v>
      </x:c>
      <x:c r="G186" s="15" t="n">
        <x:v>1146</x:v>
      </x:c>
      <x:c r="H186" s="15" t="n">
        <x:v>17800</x:v>
      </x:c>
      <x:c r="I186" s="15" t="n">
        <x:v>7124</x:v>
      </x:c>
      <x:c r="J186" s="15" t="n">
        <x:v>3767</x:v>
      </x:c>
      <x:c r="K186" s="15" t="n">
        <x:v>40.022472</x:v>
      </x:c>
      <x:c r="L186" s="15" t="n">
        <x:v>21.162921</x:v>
      </x:c>
      <x:c r="M186" s="15" t="n">
        <x:v>6.04877</x:v>
      </x:c>
      <x:c r="N186" s="15" t="n">
        <x:v>18946</x:v>
      </x:c>
      <x:c r="O186" s="15" t="n">
        <x:v>1975</x:v>
      </x:c>
      <x:c r="P186" s="15" t="n">
        <x:v>1127</x:v>
      </x:c>
      <x:c r="Q186" s="15" t="n">
        <x:v>586</x:v>
      </x:c>
      <x:c r="R186" s="15" t="n">
        <x:v>3137</x:v>
      </x:c>
      <x:c r="S186" s="15" t="n">
        <x:v>975</x:v>
      </x:c>
      <x:c r="T186" s="15" t="n">
        <x:v>3239</x:v>
      </x:c>
      <x:c r="U186" s="15" t="n">
        <x:v>1157</x:v>
      </x:c>
      <x:c r="V186" s="15" t="n">
        <x:v>1770</x:v>
      </x:c>
      <x:c r="W186" s="15" t="n">
        <x:v>717</x:v>
      </x:c>
      <x:c r="X186" s="15" t="n">
        <x:v>1403</x:v>
      </x:c>
      <x:c r="Y186" s="15" t="n">
        <x:v>594</x:v>
      </x:c>
      <x:c r="Z186" s="15" t="n">
        <x:v>1427</x:v>
      </x:c>
      <x:c r="AA186" s="15" t="n">
        <x:v>620</x:v>
      </x:c>
      <x:c r="AB186" s="15" t="n">
        <x:v>705</x:v>
      </x:c>
      <x:c r="AC186" s="15" t="n">
        <x:v>465</x:v>
      </x:c>
      <x:c r="AD186" s="15" t="n">
        <x:v>1225</x:v>
      </x:c>
      <x:c r="AE186" s="15" t="n">
        <x:v>608</x:v>
      </x:c>
      <x:c r="AF186" s="15" t="n">
        <x:v>3767</x:v>
      </x:c>
      <x:c r="AG186" s="15" t="n">
        <x:v>1063</x:v>
      </x:c>
      <x:c r="AH186" s="15" t="n">
        <x:v>1146</x:v>
      </x:c>
      <x:c r="AI186" s="15" t="n">
        <x:v>571</x:v>
      </x:c>
    </x:row>
    <x:row r="187" ht="22" customHeight="1">
      <x:c r="A187" s="1" t="str">
        <x:v>310M700US27740</x:v>
      </x:c>
      <x:c r="B187" s="1" t="str">
        <x:v>27740</x:v>
      </x:c>
      <x:c r="C187" s="1" t="str">
        <x:v>Johnson City, TN Metro Area</x:v>
      </x:c>
      <x:c r="D187" s="5" t="n">
        <x:v>2024</x:v>
      </x:c>
      <x:c r="E187" s="1" t="str">
        <x:v>ok</x:v>
      </x:c>
      <x:c r="F187" s="15" t="n">
        <x:v>28318</x:v>
      </x:c>
      <x:c r="G187" s="15" t="n">
        <x:v>3683</x:v>
      </x:c>
      <x:c r="H187" s="15" t="n">
        <x:v>24635</x:v>
      </x:c>
      <x:c r="I187" s="15" t="n">
        <x:v>11137</x:v>
      </x:c>
      <x:c r="J187" s="15" t="n">
        <x:v>4368</x:v>
      </x:c>
      <x:c r="K187" s="15" t="n">
        <x:v>45.208037</x:v>
      </x:c>
      <x:c r="L187" s="15" t="n">
        <x:v>17.730871</x:v>
      </x:c>
      <x:c r="M187" s="15" t="n">
        <x:v>13.005862</x:v>
      </x:c>
      <x:c r="N187" s="15" t="n">
        <x:v>28318</x:v>
      </x:c>
      <x:c r="O187" s="15" t="n">
        <x:v>3002</x:v>
      </x:c>
      <x:c r="P187" s="15" t="n">
        <x:v>1754</x:v>
      </x:c>
      <x:c r="Q187" s="15" t="n">
        <x:v>771</x:v>
      </x:c>
      <x:c r="R187" s="15" t="n">
        <x:v>2761</x:v>
      </x:c>
      <x:c r="S187" s="15" t="n">
        <x:v>1056</x:v>
      </x:c>
      <x:c r="T187" s="15" t="n">
        <x:v>3095</x:v>
      </x:c>
      <x:c r="U187" s="15" t="n">
        <x:v>1030</x:v>
      </x:c>
      <x:c r="V187" s="15" t="n">
        <x:v>3048</x:v>
      </x:c>
      <x:c r="W187" s="15" t="n">
        <x:v>991</x:v>
      </x:c>
      <x:c r="X187" s="15" t="n">
        <x:v>2840</x:v>
      </x:c>
      <x:c r="Y187" s="15" t="n">
        <x:v>1123</x:v>
      </x:c>
      <x:c r="Z187" s="15" t="n">
        <x:v>3588</x:v>
      </x:c>
      <x:c r="AA187" s="15" t="n">
        <x:v>1171</x:v>
      </x:c>
      <x:c r="AB187" s="15" t="n">
        <x:v>1377</x:v>
      </x:c>
      <x:c r="AC187" s="15" t="n">
        <x:v>643</x:v>
      </x:c>
      <x:c r="AD187" s="15" t="n">
        <x:v>1804</x:v>
      </x:c>
      <x:c r="AE187" s="15" t="n">
        <x:v>832</x:v>
      </x:c>
      <x:c r="AF187" s="15" t="n">
        <x:v>4368</x:v>
      </x:c>
      <x:c r="AG187" s="15" t="n">
        <x:v>1352</x:v>
      </x:c>
      <x:c r="AH187" s="15" t="n">
        <x:v>3683</x:v>
      </x:c>
      <x:c r="AI187" s="15" t="n">
        <x:v>1158</x:v>
      </x:c>
    </x:row>
    <x:row r="188" ht="22" customHeight="1">
      <x:c r="A188" s="1" t="str">
        <x:v>310M700US27780</x:v>
      </x:c>
      <x:c r="B188" s="1" t="str">
        <x:v>27780</x:v>
      </x:c>
      <x:c r="C188" s="1" t="str">
        <x:v>Johnstown, PA Metro Area</x:v>
      </x:c>
      <x:c r="D188" s="5" t="n">
        <x:v>2024</x:v>
      </x:c>
      <x:c r="E188" s="1" t="str">
        <x:v>ok</x:v>
      </x:c>
      <x:c r="F188" s="15" t="n">
        <x:v>13433</x:v>
      </x:c>
      <x:c r="G188" s="15" t="n">
        <x:v>2719</x:v>
      </x:c>
      <x:c r="H188" s="15" t="n">
        <x:v>10714</x:v>
      </x:c>
      <x:c r="I188" s="15" t="n">
        <x:v>4416</x:v>
      </x:c>
      <x:c r="J188" s="15" t="n">
        <x:v>2130</x:v>
      </x:c>
      <x:c r="K188" s="15" t="n">
        <x:v>41.217099</x:v>
      </x:c>
      <x:c r="L188" s="15" t="n">
        <x:v>19.88053</x:v>
      </x:c>
      <x:c r="M188" s="15" t="n">
        <x:v>20.241197</x:v>
      </x:c>
      <x:c r="N188" s="15" t="n">
        <x:v>13433</x:v>
      </x:c>
      <x:c r="O188" s="15" t="n">
        <x:v>1409</x:v>
      </x:c>
      <x:c r="P188" s="15" t="n">
        <x:v>921</x:v>
      </x:c>
      <x:c r="Q188" s="15" t="n">
        <x:v>321</x:v>
      </x:c>
      <x:c r="R188" s="15" t="n">
        <x:v>964</x:v>
      </x:c>
      <x:c r="S188" s="15" t="n">
        <x:v>438</x:v>
      </x:c>
      <x:c r="T188" s="15" t="n">
        <x:v>1377</x:v>
      </x:c>
      <x:c r="U188" s="15" t="n">
        <x:v>488</x:v>
      </x:c>
      <x:c r="V188" s="15" t="n">
        <x:v>1783</x:v>
      </x:c>
      <x:c r="W188" s="15" t="n">
        <x:v>677</x:v>
      </x:c>
      <x:c r="X188" s="15" t="n">
        <x:v>1253</x:v>
      </x:c>
      <x:c r="Y188" s="15" t="n">
        <x:v>556</x:v>
      </x:c>
      <x:c r="Z188" s="15" t="n">
        <x:v>1192</x:v>
      </x:c>
      <x:c r="AA188" s="15" t="n">
        <x:v>517</x:v>
      </x:c>
      <x:c r="AB188" s="15" t="n">
        <x:v>413</x:v>
      </x:c>
      <x:c r="AC188" s="15" t="n">
        <x:v>208</x:v>
      </x:c>
      <x:c r="AD188" s="15" t="n">
        <x:v>681</x:v>
      </x:c>
      <x:c r="AE188" s="15" t="n">
        <x:v>342</x:v>
      </x:c>
      <x:c r="AF188" s="15" t="n">
        <x:v>2130</x:v>
      </x:c>
      <x:c r="AG188" s="15" t="n">
        <x:v>720</x:v>
      </x:c>
      <x:c r="AH188" s="15" t="n">
        <x:v>2719</x:v>
      </x:c>
      <x:c r="AI188" s="15" t="n">
        <x:v>819</x:v>
      </x:c>
    </x:row>
    <x:row r="189" ht="22" customHeight="1">
      <x:c r="A189" s="1" t="str">
        <x:v>310M700US27860</x:v>
      </x:c>
      <x:c r="B189" s="1" t="str">
        <x:v>27860</x:v>
      </x:c>
      <x:c r="C189" s="1" t="str">
        <x:v>Jonesboro, AR Metro Area</x:v>
      </x:c>
      <x:c r="D189" s="5" t="n">
        <x:v>2024</x:v>
      </x:c>
      <x:c r="E189" s="1" t="str">
        <x:v>ok</x:v>
      </x:c>
      <x:c r="F189" s="15" t="n">
        <x:v>20393</x:v>
      </x:c>
      <x:c r="G189" s="15" t="n">
        <x:v>1849</x:v>
      </x:c>
      <x:c r="H189" s="15" t="n">
        <x:v>18544</x:v>
      </x:c>
      <x:c r="I189" s="15" t="n">
        <x:v>10074</x:v>
      </x:c>
      <x:c r="J189" s="15" t="n">
        <x:v>4063</x:v>
      </x:c>
      <x:c r="K189" s="15" t="n">
        <x:v>54.324849</x:v>
      </x:c>
      <x:c r="L189" s="15" t="n">
        <x:v>21.910052</x:v>
      </x:c>
      <x:c r="M189" s="15" t="n">
        <x:v>9.066837</x:v>
      </x:c>
      <x:c r="N189" s="15" t="n">
        <x:v>20393</x:v>
      </x:c>
      <x:c r="O189" s="15" t="n">
        <x:v>2080</x:v>
      </x:c>
      <x:c r="P189" s="15" t="n">
        <x:v>373</x:v>
      </x:c>
      <x:c r="Q189" s="15" t="n">
        <x:v>340</x:v>
      </x:c>
      <x:c r="R189" s="15" t="n">
        <x:v>1714</x:v>
      </x:c>
      <x:c r="S189" s="15" t="n">
        <x:v>746</x:v>
      </x:c>
      <x:c r="T189" s="15" t="n">
        <x:v>2825</x:v>
      </x:c>
      <x:c r="U189" s="15" t="n">
        <x:v>971</x:v>
      </x:c>
      <x:c r="V189" s="15" t="n">
        <x:v>1553</x:v>
      </x:c>
      <x:c r="W189" s="15" t="n">
        <x:v>933</x:v>
      </x:c>
      <x:c r="X189" s="15" t="n">
        <x:v>2005</x:v>
      </x:c>
      <x:c r="Y189" s="15" t="n">
        <x:v>988</x:v>
      </x:c>
      <x:c r="Z189" s="15" t="n">
        <x:v>1907</x:v>
      </x:c>
      <x:c r="AA189" s="15" t="n">
        <x:v>963</x:v>
      </x:c>
      <x:c r="AB189" s="15" t="n">
        <x:v>2428</x:v>
      </x:c>
      <x:c r="AC189" s="15" t="n">
        <x:v>1046</x:v>
      </x:c>
      <x:c r="AD189" s="15" t="n">
        <x:v>1676</x:v>
      </x:c>
      <x:c r="AE189" s="15" t="n">
        <x:v>1088</x:v>
      </x:c>
      <x:c r="AF189" s="15" t="n">
        <x:v>4063</x:v>
      </x:c>
      <x:c r="AG189" s="15" t="n">
        <x:v>1371</x:v>
      </x:c>
      <x:c r="AH189" s="15" t="n">
        <x:v>1849</x:v>
      </x:c>
      <x:c r="AI189" s="15" t="n">
        <x:v>917</x:v>
      </x:c>
    </x:row>
    <x:row r="190" ht="22" customHeight="1">
      <x:c r="A190" s="1" t="str">
        <x:v>310M700US27900</x:v>
      </x:c>
      <x:c r="B190" s="1" t="str">
        <x:v>27900</x:v>
      </x:c>
      <x:c r="C190" s="1" t="str">
        <x:v>Joplin, MO-KS Metro Area</x:v>
      </x:c>
      <x:c r="D190" s="5" t="n">
        <x:v>2024</x:v>
      </x:c>
      <x:c r="E190" s="1" t="str">
        <x:v>ok</x:v>
      </x:c>
      <x:c r="F190" s="15" t="n">
        <x:v>27602</x:v>
      </x:c>
      <x:c r="G190" s="15" t="n">
        <x:v>1745</x:v>
      </x:c>
      <x:c r="H190" s="15" t="n">
        <x:v>25857</x:v>
      </x:c>
      <x:c r="I190" s="15" t="n">
        <x:v>10455</x:v>
      </x:c>
      <x:c r="J190" s="15" t="n">
        <x:v>5409</x:v>
      </x:c>
      <x:c r="K190" s="15" t="n">
        <x:v>40.433925</x:v>
      </x:c>
      <x:c r="L190" s="15" t="n">
        <x:v>20.9189</x:v>
      </x:c>
      <x:c r="M190" s="15" t="n">
        <x:v>6.322006</x:v>
      </x:c>
      <x:c r="N190" s="15" t="n">
        <x:v>27602</x:v>
      </x:c>
      <x:c r="O190" s="15" t="n">
        <x:v>2282</x:v>
      </x:c>
      <x:c r="P190" s="15" t="n">
        <x:v>937</x:v>
      </x:c>
      <x:c r="Q190" s="15" t="n">
        <x:v>551</x:v>
      </x:c>
      <x:c r="R190" s="15" t="n">
        <x:v>2598</x:v>
      </x:c>
      <x:c r="S190" s="15" t="n">
        <x:v>926</x:v>
      </x:c>
      <x:c r="T190" s="15" t="n">
        <x:v>5137</x:v>
      </x:c>
      <x:c r="U190" s="15" t="n">
        <x:v>1235</x:v>
      </x:c>
      <x:c r="V190" s="15" t="n">
        <x:v>3542</x:v>
      </x:c>
      <x:c r="W190" s="15" t="n">
        <x:v>1156</x:v>
      </x:c>
      <x:c r="X190" s="15" t="n">
        <x:v>3188</x:v>
      </x:c>
      <x:c r="Y190" s="15" t="n">
        <x:v>932</x:v>
      </x:c>
      <x:c r="Z190" s="15" t="n">
        <x:v>1685</x:v>
      </x:c>
      <x:c r="AA190" s="15" t="n">
        <x:v>658</x:v>
      </x:c>
      <x:c r="AB190" s="15" t="n">
        <x:v>1649</x:v>
      </x:c>
      <x:c r="AC190" s="15" t="n">
        <x:v>789</x:v>
      </x:c>
      <x:c r="AD190" s="15" t="n">
        <x:v>1712</x:v>
      </x:c>
      <x:c r="AE190" s="15" t="n">
        <x:v>742</x:v>
      </x:c>
      <x:c r="AF190" s="15" t="n">
        <x:v>5409</x:v>
      </x:c>
      <x:c r="AG190" s="15" t="n">
        <x:v>1230</x:v>
      </x:c>
      <x:c r="AH190" s="15" t="n">
        <x:v>1745</x:v>
      </x:c>
      <x:c r="AI190" s="15" t="n">
        <x:v>635</x:v>
      </x:c>
    </x:row>
    <x:row r="191" ht="22" customHeight="1">
      <x:c r="A191" s="1" t="str">
        <x:v>310M700US27980</x:v>
      </x:c>
      <x:c r="B191" s="1" t="str">
        <x:v>27980</x:v>
      </x:c>
      <x:c r="C191" s="1" t="str">
        <x:v>Kahului-Wailuku, HI Metro Area</x:v>
      </x:c>
      <x:c r="D191" s="5" t="n">
        <x:v>2024</x:v>
      </x:c>
      <x:c r="E191" s="1" t="str">
        <x:v>ok</x:v>
      </x:c>
      <x:c r="F191" s="15" t="n">
        <x:v>19435</x:v>
      </x:c>
      <x:c r="G191" s="15" t="n">
        <x:v>2516</x:v>
      </x:c>
      <x:c r="H191" s="15" t="n">
        <x:v>16919</x:v>
      </x:c>
      <x:c r="I191" s="15" t="n">
        <x:v>9272</x:v>
      </x:c>
      <x:c r="J191" s="15" t="n">
        <x:v>5648</x:v>
      </x:c>
      <x:c r="K191" s="15" t="n">
        <x:v>54.802293</x:v>
      </x:c>
      <x:c r="L191" s="15" t="n">
        <x:v>33.382588</x:v>
      </x:c>
      <x:c r="M191" s="15" t="n">
        <x:v>12.945716</x:v>
      </x:c>
      <x:c r="N191" s="15" t="n">
        <x:v>19435</x:v>
      </x:c>
      <x:c r="O191" s="15" t="n">
        <x:v>2111</x:v>
      </x:c>
      <x:c r="P191" s="15" t="n">
        <x:v>1468</x:v>
      </x:c>
      <x:c r="Q191" s="15" t="n">
        <x:v>843</x:v>
      </x:c>
      <x:c r="R191" s="15" t="n">
        <x:v>794</x:v>
      </x:c>
      <x:c r="S191" s="15" t="n">
        <x:v>472</x:v>
      </x:c>
      <x:c r="T191" s="15" t="n">
        <x:v>2138</x:v>
      </x:c>
      <x:c r="U191" s="15" t="n">
        <x:v>914</x:v>
      </x:c>
      <x:c r="V191" s="15" t="n">
        <x:v>2184</x:v>
      </x:c>
      <x:c r="W191" s="15" t="n">
        <x:v>1102</x:v>
      </x:c>
      <x:c r="X191" s="15" t="n">
        <x:v>1063</x:v>
      </x:c>
      <x:c r="Y191" s="15" t="n">
        <x:v>637</x:v>
      </x:c>
      <x:c r="Z191" s="15" t="n">
        <x:v>1665</x:v>
      </x:c>
      <x:c r="AA191" s="15" t="n">
        <x:v>755</x:v>
      </x:c>
      <x:c r="AB191" s="15" t="n">
        <x:v>775</x:v>
      </x:c>
      <x:c r="AC191" s="15" t="n">
        <x:v>389</x:v>
      </x:c>
      <x:c r="AD191" s="15" t="n">
        <x:v>1184</x:v>
      </x:c>
      <x:c r="AE191" s="15" t="n">
        <x:v>616</x:v>
      </x:c>
      <x:c r="AF191" s="15" t="n">
        <x:v>5648</x:v>
      </x:c>
      <x:c r="AG191" s="15" t="n">
        <x:v>1429</x:v>
      </x:c>
      <x:c r="AH191" s="15" t="n">
        <x:v>2516</x:v>
      </x:c>
      <x:c r="AI191" s="15" t="n">
        <x:v>817</x:v>
      </x:c>
    </x:row>
    <x:row r="192" ht="22" customHeight="1">
      <x:c r="A192" s="1" t="str">
        <x:v>310M700US28020</x:v>
      </x:c>
      <x:c r="B192" s="1" t="str">
        <x:v>28020</x:v>
      </x:c>
      <x:c r="C192" s="1" t="str">
        <x:v>Kalamazoo-Portage, MI Metro Area</x:v>
      </x:c>
      <x:c r="D192" s="5" t="n">
        <x:v>2024</x:v>
      </x:c>
      <x:c r="E192" s="1" t="str">
        <x:v>ok</x:v>
      </x:c>
      <x:c r="F192" s="15" t="n">
        <x:v>38217</x:v>
      </x:c>
      <x:c r="G192" s="15" t="n">
        <x:v>1476</x:v>
      </x:c>
      <x:c r="H192" s="15" t="n">
        <x:v>36741</x:v>
      </x:c>
      <x:c r="I192" s="15" t="n">
        <x:v>19840</x:v>
      </x:c>
      <x:c r="J192" s="15" t="n">
        <x:v>9244</x:v>
      </x:c>
      <x:c r="K192" s="15" t="n">
        <x:v>53.999619</x:v>
      </x:c>
      <x:c r="L192" s="15" t="n">
        <x:v>25.159903</x:v>
      </x:c>
      <x:c r="M192" s="15" t="n">
        <x:v>3.862156</x:v>
      </x:c>
      <x:c r="N192" s="15" t="n">
        <x:v>38217</x:v>
      </x:c>
      <x:c r="O192" s="15" t="n">
        <x:v>2405</x:v>
      </x:c>
      <x:c r="P192" s="15" t="n">
        <x:v>1582</x:v>
      </x:c>
      <x:c r="Q192" s="15" t="n">
        <x:v>818</x:v>
      </x:c>
      <x:c r="R192" s="15" t="n">
        <x:v>1759</x:v>
      </x:c>
      <x:c r="S192" s="15" t="n">
        <x:v>758</x:v>
      </x:c>
      <x:c r="T192" s="15" t="n">
        <x:v>3505</x:v>
      </x:c>
      <x:c r="U192" s="15" t="n">
        <x:v>958</x:v>
      </x:c>
      <x:c r="V192" s="15" t="n">
        <x:v>4598</x:v>
      </x:c>
      <x:c r="W192" s="15" t="n">
        <x:v>1349</x:v>
      </x:c>
      <x:c r="X192" s="15" t="n">
        <x:v>5457</x:v>
      </x:c>
      <x:c r="Y192" s="15" t="n">
        <x:v>1330</x:v>
      </x:c>
      <x:c r="Z192" s="15" t="n">
        <x:v>4212</x:v>
      </x:c>
      <x:c r="AA192" s="15" t="n">
        <x:v>1978</x:v>
      </x:c>
      <x:c r="AB192" s="15" t="n">
        <x:v>2546</x:v>
      </x:c>
      <x:c r="AC192" s="15" t="n">
        <x:v>1111</x:v>
      </x:c>
      <x:c r="AD192" s="15" t="n">
        <x:v>3838</x:v>
      </x:c>
      <x:c r="AE192" s="15" t="n">
        <x:v>1621</x:v>
      </x:c>
      <x:c r="AF192" s="15" t="n">
        <x:v>9244</x:v>
      </x:c>
      <x:c r="AG192" s="15" t="n">
        <x:v>1994</x:v>
      </x:c>
      <x:c r="AH192" s="15" t="n">
        <x:v>1476</x:v>
      </x:c>
      <x:c r="AI192" s="15" t="n">
        <x:v>569</x:v>
      </x:c>
    </x:row>
    <x:row r="193" ht="22" customHeight="1">
      <x:c r="A193" s="1" t="str">
        <x:v>310M700US28100</x:v>
      </x:c>
      <x:c r="B193" s="1" t="str">
        <x:v>28100</x:v>
      </x:c>
      <x:c r="C193" s="1" t="str">
        <x:v>Kankakee, IL Metro Area</x:v>
      </x:c>
      <x:c r="D193" s="5" t="n">
        <x:v>2024</x:v>
      </x:c>
      <x:c r="E193" s="1" t="str">
        <x:v>ok</x:v>
      </x:c>
      <x:c r="F193" s="15" t="n">
        <x:v>11940</x:v>
      </x:c>
      <x:c r="G193" s="15" t="n">
        <x:v>1295</x:v>
      </x:c>
      <x:c r="H193" s="15" t="n">
        <x:v>10645</x:v>
      </x:c>
      <x:c r="I193" s="15" t="n">
        <x:v>5236</x:v>
      </x:c>
      <x:c r="J193" s="15" t="n">
        <x:v>2757</x:v>
      </x:c>
      <x:c r="K193" s="15" t="n">
        <x:v>49.187412</x:v>
      </x:c>
      <x:c r="L193" s="15" t="n">
        <x:v>25.899483</x:v>
      </x:c>
      <x:c r="M193" s="15" t="n">
        <x:v>10.845896</x:v>
      </x:c>
      <x:c r="N193" s="15" t="n">
        <x:v>11940</x:v>
      </x:c>
      <x:c r="O193" s="15" t="n">
        <x:v>1624</x:v>
      </x:c>
      <x:c r="P193" s="15" t="n">
        <x:v>1141</x:v>
      </x:c>
      <x:c r="Q193" s="15" t="n">
        <x:v>686</x:v>
      </x:c>
      <x:c r="R193" s="15" t="n">
        <x:v>1009</x:v>
      </x:c>
      <x:c r="S193" s="15" t="n">
        <x:v>548</x:v>
      </x:c>
      <x:c r="T193" s="15" t="n">
        <x:v>1544</x:v>
      </x:c>
      <x:c r="U193" s="15" t="n">
        <x:v>812</x:v>
      </x:c>
      <x:c r="V193" s="15" t="n">
        <x:v>905</x:v>
      </x:c>
      <x:c r="W193" s="15" t="n">
        <x:v>437</x:v>
      </x:c>
      <x:c r="X193" s="15" t="n">
        <x:v>810</x:v>
      </x:c>
      <x:c r="Y193" s="15" t="n">
        <x:v>485</x:v>
      </x:c>
      <x:c r="Z193" s="15" t="n">
        <x:v>575</x:v>
      </x:c>
      <x:c r="AA193" s="15" t="n">
        <x:v>380</x:v>
      </x:c>
      <x:c r="AB193" s="15" t="n">
        <x:v>914</x:v>
      </x:c>
      <x:c r="AC193" s="15" t="n">
        <x:v>628</x:v>
      </x:c>
      <x:c r="AD193" s="15" t="n">
        <x:v>990</x:v>
      </x:c>
      <x:c r="AE193" s="15" t="n">
        <x:v>589</x:v>
      </x:c>
      <x:c r="AF193" s="15" t="n">
        <x:v>2757</x:v>
      </x:c>
      <x:c r="AG193" s="15" t="n">
        <x:v>857</x:v>
      </x:c>
      <x:c r="AH193" s="15" t="n">
        <x:v>1295</x:v>
      </x:c>
      <x:c r="AI193" s="15" t="n">
        <x:v>669</x:v>
      </x:c>
    </x:row>
    <x:row r="194" ht="22" customHeight="1">
      <x:c r="A194" s="1" t="str">
        <x:v>310M700US28140</x:v>
      </x:c>
      <x:c r="B194" s="1" t="str">
        <x:v>28140</x:v>
      </x:c>
      <x:c r="C194" s="1" t="str">
        <x:v>Kansas City, MO-KS Metro Area</x:v>
      </x:c>
      <x:c r="D194" s="5" t="n">
        <x:v>2024</x:v>
      </x:c>
      <x:c r="E194" s="1" t="str">
        <x:v>ok</x:v>
      </x:c>
      <x:c r="F194" s="15" t="n">
        <x:v>303939</x:v>
      </x:c>
      <x:c r="G194" s="15" t="n">
        <x:v>14850</x:v>
      </x:c>
      <x:c r="H194" s="15" t="n">
        <x:v>289089</x:v>
      </x:c>
      <x:c r="I194" s="15" t="n">
        <x:v>140072</x:v>
      </x:c>
      <x:c r="J194" s="15" t="n">
        <x:v>64785</x:v>
      </x:c>
      <x:c r="K194" s="15" t="n">
        <x:v>48.452899</x:v>
      </x:c>
      <x:c r="L194" s="15" t="n">
        <x:v>22.410054</x:v>
      </x:c>
      <x:c r="M194" s="15" t="n">
        <x:v>4.885849</x:v>
      </x:c>
      <x:c r="N194" s="15" t="n">
        <x:v>303939</x:v>
      </x:c>
      <x:c r="O194" s="15" t="n">
        <x:v>7633</x:v>
      </x:c>
      <x:c r="P194" s="15" t="n">
        <x:v>9510</x:v>
      </x:c>
      <x:c r="Q194" s="15" t="n">
        <x:v>1922</x:v>
      </x:c>
      <x:c r="R194" s="15" t="n">
        <x:v>22646</x:v>
      </x:c>
      <x:c r="S194" s="15" t="n">
        <x:v>2632</x:v>
      </x:c>
      <x:c r="T194" s="15" t="n">
        <x:v>42901</x:v>
      </x:c>
      <x:c r="U194" s="15" t="n">
        <x:v>4075</x:v>
      </x:c>
      <x:c r="V194" s="15" t="n">
        <x:v>39694</x:v>
      </x:c>
      <x:c r="W194" s="15" t="n">
        <x:v>3564</x:v>
      </x:c>
      <x:c r="X194" s="15" t="n">
        <x:v>34266</x:v>
      </x:c>
      <x:c r="Y194" s="15" t="n">
        <x:v>3755</x:v>
      </x:c>
      <x:c r="Z194" s="15" t="n">
        <x:v>29802</x:v>
      </x:c>
      <x:c r="AA194" s="15" t="n">
        <x:v>3523</x:v>
      </x:c>
      <x:c r="AB194" s="15" t="n">
        <x:v>20354</x:v>
      </x:c>
      <x:c r="AC194" s="15" t="n">
        <x:v>2347</x:v>
      </x:c>
      <x:c r="AD194" s="15" t="n">
        <x:v>25131</x:v>
      </x:c>
      <x:c r="AE194" s="15" t="n">
        <x:v>2902</x:v>
      </x:c>
      <x:c r="AF194" s="15" t="n">
        <x:v>64785</x:v>
      </x:c>
      <x:c r="AG194" s="15" t="n">
        <x:v>5296</x:v>
      </x:c>
      <x:c r="AH194" s="15" t="n">
        <x:v>14850</x:v>
      </x:c>
      <x:c r="AI194" s="15" t="n">
        <x:v>2368</x:v>
      </x:c>
    </x:row>
    <x:row r="195" ht="22" customHeight="1">
      <x:c r="A195" s="1" t="str">
        <x:v>310M700US28420</x:v>
      </x:c>
      <x:c r="B195" s="1" t="str">
        <x:v>28420</x:v>
      </x:c>
      <x:c r="C195" s="1" t="str">
        <x:v>Kennewick-Richland, WA Metro Area</x:v>
      </x:c>
      <x:c r="D195" s="5" t="n">
        <x:v>2024</x:v>
      </x:c>
      <x:c r="E195" s="1" t="str">
        <x:v>ok</x:v>
      </x:c>
      <x:c r="F195" s="15" t="n">
        <x:v>38828</x:v>
      </x:c>
      <x:c r="G195" s="15" t="n">
        <x:v>3848</x:v>
      </x:c>
      <x:c r="H195" s="15" t="n">
        <x:v>34980</x:v>
      </x:c>
      <x:c r="I195" s="15" t="n">
        <x:v>16770</x:v>
      </x:c>
      <x:c r="J195" s="15" t="n">
        <x:v>8968</x:v>
      </x:c>
      <x:c r="K195" s="15" t="n">
        <x:v>47.941681</x:v>
      </x:c>
      <x:c r="L195" s="15" t="n">
        <x:v>25.637507</x:v>
      </x:c>
      <x:c r="M195" s="15" t="n">
        <x:v>9.910374</x:v>
      </x:c>
      <x:c r="N195" s="15" t="n">
        <x:v>38828</x:v>
      </x:c>
      <x:c r="O195" s="15" t="n">
        <x:v>2896</x:v>
      </x:c>
      <x:c r="P195" s="15" t="n">
        <x:v>1343</x:v>
      </x:c>
      <x:c r="Q195" s="15" t="n">
        <x:v>846</x:v>
      </x:c>
      <x:c r="R195" s="15" t="n">
        <x:v>3070</x:v>
      </x:c>
      <x:c r="S195" s="15" t="n">
        <x:v>1117</x:v>
      </x:c>
      <x:c r="T195" s="15" t="n">
        <x:v>3997</x:v>
      </x:c>
      <x:c r="U195" s="15" t="n">
        <x:v>1075</x:v>
      </x:c>
      <x:c r="V195" s="15" t="n">
        <x:v>5293</x:v>
      </x:c>
      <x:c r="W195" s="15" t="n">
        <x:v>1402</x:v>
      </x:c>
      <x:c r="X195" s="15" t="n">
        <x:v>4507</x:v>
      </x:c>
      <x:c r="Y195" s="15" t="n">
        <x:v>1306</x:v>
      </x:c>
      <x:c r="Z195" s="15" t="n">
        <x:v>2869</x:v>
      </x:c>
      <x:c r="AA195" s="15" t="n">
        <x:v>1042</x:v>
      </x:c>
      <x:c r="AB195" s="15" t="n">
        <x:v>1809</x:v>
      </x:c>
      <x:c r="AC195" s="15" t="n">
        <x:v>841</x:v>
      </x:c>
      <x:c r="AD195" s="15" t="n">
        <x:v>3124</x:v>
      </x:c>
      <x:c r="AE195" s="15" t="n">
        <x:v>1414</x:v>
      </x:c>
      <x:c r="AF195" s="15" t="n">
        <x:v>8968</x:v>
      </x:c>
      <x:c r="AG195" s="15" t="n">
        <x:v>1831</x:v>
      </x:c>
      <x:c r="AH195" s="15" t="n">
        <x:v>3848</x:v>
      </x:c>
      <x:c r="AI195" s="15" t="n">
        <x:v>1274</x:v>
      </x:c>
    </x:row>
    <x:row r="196" ht="22" customHeight="1">
      <x:c r="A196" s="1" t="str">
        <x:v>310M700US28450</x:v>
      </x:c>
      <x:c r="B196" s="1" t="str">
        <x:v>28450</x:v>
      </x:c>
      <x:c r="C196" s="1" t="str">
        <x:v>Kenosha, WI Metro Area</x:v>
      </x:c>
      <x:c r="D196" s="5" t="n">
        <x:v>2024</x:v>
      </x:c>
      <x:c r="E196" s="1" t="str">
        <x:v>ok</x:v>
      </x:c>
      <x:c r="F196" s="15" t="n">
        <x:v>23602</x:v>
      </x:c>
      <x:c r="G196" s="15" t="n">
        <x:v>1017</x:v>
      </x:c>
      <x:c r="H196" s="15" t="n">
        <x:v>22585</x:v>
      </x:c>
      <x:c r="I196" s="15" t="n">
        <x:v>10723</x:v>
      </x:c>
      <x:c r="J196" s="15" t="n">
        <x:v>5331</x:v>
      </x:c>
      <x:c r="K196" s="15" t="n">
        <x:v>47.478415</x:v>
      </x:c>
      <x:c r="L196" s="15" t="n">
        <x:v>23.604162</x:v>
      </x:c>
      <x:c r="M196" s="15" t="n">
        <x:v>4.308957</x:v>
      </x:c>
      <x:c r="N196" s="15" t="n">
        <x:v>23602</x:v>
      </x:c>
      <x:c r="O196" s="15" t="n">
        <x:v>1904</x:v>
      </x:c>
      <x:c r="P196" s="15" t="n">
        <x:v>998</x:v>
      </x:c>
      <x:c r="Q196" s="15" t="n">
        <x:v>601</x:v>
      </x:c>
      <x:c r="R196" s="15" t="n">
        <x:v>1990</x:v>
      </x:c>
      <x:c r="S196" s="15" t="n">
        <x:v>797</x:v>
      </x:c>
      <x:c r="T196" s="15" t="n">
        <x:v>3157</x:v>
      </x:c>
      <x:c r="U196" s="15" t="n">
        <x:v>893</x:v>
      </x:c>
      <x:c r="V196" s="15" t="n">
        <x:v>2855</x:v>
      </x:c>
      <x:c r="W196" s="15" t="n">
        <x:v>988</x:v>
      </x:c>
      <x:c r="X196" s="15" t="n">
        <x:v>2862</x:v>
      </x:c>
      <x:c r="Y196" s="15" t="n">
        <x:v>973</x:v>
      </x:c>
      <x:c r="Z196" s="15" t="n">
        <x:v>2683</x:v>
      </x:c>
      <x:c r="AA196" s="15" t="n">
        <x:v>1162</x:v>
      </x:c>
      <x:c r="AB196" s="15" t="n">
        <x:v>816</x:v>
      </x:c>
      <x:c r="AC196" s="15" t="n">
        <x:v>420</x:v>
      </x:c>
      <x:c r="AD196" s="15" t="n">
        <x:v>1893</x:v>
      </x:c>
      <x:c r="AE196" s="15" t="n">
        <x:v>850</x:v>
      </x:c>
      <x:c r="AF196" s="15" t="n">
        <x:v>5331</x:v>
      </x:c>
      <x:c r="AG196" s="15" t="n">
        <x:v>1472</x:v>
      </x:c>
      <x:c r="AH196" s="15" t="n">
        <x:v>1017</x:v>
      </x:c>
      <x:c r="AI196" s="15" t="n">
        <x:v>527</x:v>
      </x:c>
    </x:row>
    <x:row r="197" ht="22" customHeight="1">
      <x:c r="A197" s="1" t="str">
        <x:v>310M700US28660</x:v>
      </x:c>
      <x:c r="B197" s="1" t="str">
        <x:v>28660</x:v>
      </x:c>
      <x:c r="C197" s="1" t="str">
        <x:v>Killeen-Temple, TX Metro Area</x:v>
      </x:c>
      <x:c r="D197" s="5" t="n">
        <x:v>2024</x:v>
      </x:c>
      <x:c r="E197" s="1" t="str">
        <x:v>ok</x:v>
      </x:c>
      <x:c r="F197" s="15" t="n">
        <x:v>76125</x:v>
      </x:c>
      <x:c r="G197" s="15" t="n">
        <x:v>3346</x:v>
      </x:c>
      <x:c r="H197" s="15" t="n">
        <x:v>72779</x:v>
      </x:c>
      <x:c r="I197" s="15" t="n">
        <x:v>36901</x:v>
      </x:c>
      <x:c r="J197" s="15" t="n">
        <x:v>16810</x:v>
      </x:c>
      <x:c r="K197" s="15" t="n">
        <x:v>50.702813</x:v>
      </x:c>
      <x:c r="L197" s="15" t="n">
        <x:v>23.097322</x:v>
      </x:c>
      <x:c r="M197" s="15" t="n">
        <x:v>4.395402</x:v>
      </x:c>
      <x:c r="N197" s="15" t="n">
        <x:v>76125</x:v>
      </x:c>
      <x:c r="O197" s="15" t="n">
        <x:v>3624</x:v>
      </x:c>
      <x:c r="P197" s="15" t="n">
        <x:v>1665</x:v>
      </x:c>
      <x:c r="Q197" s="15" t="n">
        <x:v>862</x:v>
      </x:c>
      <x:c r="R197" s="15" t="n">
        <x:v>5161</x:v>
      </x:c>
      <x:c r="S197" s="15" t="n">
        <x:v>1162</x:v>
      </x:c>
      <x:c r="T197" s="15" t="n">
        <x:v>9915</x:v>
      </x:c>
      <x:c r="U197" s="15" t="n">
        <x:v>2199</x:v>
      </x:c>
      <x:c r="V197" s="15" t="n">
        <x:v>8416</x:v>
      </x:c>
      <x:c r="W197" s="15" t="n">
        <x:v>2023</x:v>
      </x:c>
      <x:c r="X197" s="15" t="n">
        <x:v>10721</x:v>
      </x:c>
      <x:c r="Y197" s="15" t="n">
        <x:v>2435</x:v>
      </x:c>
      <x:c r="Z197" s="15" t="n">
        <x:v>6581</x:v>
      </x:c>
      <x:c r="AA197" s="15" t="n">
        <x:v>1575</x:v>
      </x:c>
      <x:c r="AB197" s="15" t="n">
        <x:v>6068</x:v>
      </x:c>
      <x:c r="AC197" s="15" t="n">
        <x:v>1732</x:v>
      </x:c>
      <x:c r="AD197" s="15" t="n">
        <x:v>7442</x:v>
      </x:c>
      <x:c r="AE197" s="15" t="n">
        <x:v>1620</x:v>
      </x:c>
      <x:c r="AF197" s="15" t="n">
        <x:v>16810</x:v>
      </x:c>
      <x:c r="AG197" s="15" t="n">
        <x:v>2640</x:v>
      </x:c>
      <x:c r="AH197" s="15" t="n">
        <x:v>3346</x:v>
      </x:c>
      <x:c r="AI197" s="15" t="n">
        <x:v>1260</x:v>
      </x:c>
    </x:row>
    <x:row r="198" ht="22" customHeight="1">
      <x:c r="A198" s="1" t="str">
        <x:v>310M700US28700</x:v>
      </x:c>
      <x:c r="B198" s="1" t="str">
        <x:v>28700</x:v>
      </x:c>
      <x:c r="C198" s="1" t="str">
        <x:v>Kingsport-Bristol, TN-VA Metro Area</x:v>
      </x:c>
      <x:c r="D198" s="5" t="n">
        <x:v>2024</x:v>
      </x:c>
      <x:c r="E198" s="1" t="str">
        <x:v>ok</x:v>
      </x:c>
      <x:c r="F198" s="15" t="n">
        <x:v>36499</x:v>
      </x:c>
      <x:c r="G198" s="15" t="n">
        <x:v>6567</x:v>
      </x:c>
      <x:c r="H198" s="15" t="n">
        <x:v>29932</x:v>
      </x:c>
      <x:c r="I198" s="15" t="n">
        <x:v>12607</x:v>
      </x:c>
      <x:c r="J198" s="15" t="n">
        <x:v>6750</x:v>
      </x:c>
      <x:c r="K198" s="15" t="n">
        <x:v>42.118803</x:v>
      </x:c>
      <x:c r="L198" s="15" t="n">
        <x:v>22.551116</x:v>
      </x:c>
      <x:c r="M198" s="15" t="n">
        <x:v>17.992274</x:v>
      </x:c>
      <x:c r="N198" s="15" t="n">
        <x:v>36499</x:v>
      </x:c>
      <x:c r="O198" s="15" t="n">
        <x:v>2913</x:v>
      </x:c>
      <x:c r="P198" s="15" t="n">
        <x:v>2790</x:v>
      </x:c>
      <x:c r="Q198" s="15" t="n">
        <x:v>1017</x:v>
      </x:c>
      <x:c r="R198" s="15" t="n">
        <x:v>3504</x:v>
      </x:c>
      <x:c r="S198" s="15" t="n">
        <x:v>1127</x:v>
      </x:c>
      <x:c r="T198" s="15" t="n">
        <x:v>3858</x:v>
      </x:c>
      <x:c r="U198" s="15" t="n">
        <x:v>1057</x:v>
      </x:c>
      <x:c r="V198" s="15" t="n">
        <x:v>3831</x:v>
      </x:c>
      <x:c r="W198" s="15" t="n">
        <x:v>1309</x:v>
      </x:c>
      <x:c r="X198" s="15" t="n">
        <x:v>3342</x:v>
      </x:c>
      <x:c r="Y198" s="15" t="n">
        <x:v>998</x:v>
      </x:c>
      <x:c r="Z198" s="15" t="n">
        <x:v>1972</x:v>
      </x:c>
      <x:c r="AA198" s="15" t="n">
        <x:v>767</x:v>
      </x:c>
      <x:c r="AB198" s="15" t="n">
        <x:v>1938</x:v>
      </x:c>
      <x:c r="AC198" s="15" t="n">
        <x:v>755</x:v>
      </x:c>
      <x:c r="AD198" s="15" t="n">
        <x:v>1947</x:v>
      </x:c>
      <x:c r="AE198" s="15" t="n">
        <x:v>724</x:v>
      </x:c>
      <x:c r="AF198" s="15" t="n">
        <x:v>6750</x:v>
      </x:c>
      <x:c r="AG198" s="15" t="n">
        <x:v>1332</x:v>
      </x:c>
      <x:c r="AH198" s="15" t="n">
        <x:v>6567</x:v>
      </x:c>
      <x:c r="AI198" s="15" t="n">
        <x:v>1543</x:v>
      </x:c>
    </x:row>
    <x:row r="199" ht="22" customHeight="1">
      <x:c r="A199" s="1" t="str">
        <x:v>310M700US28740</x:v>
      </x:c>
      <x:c r="B199" s="1" t="str">
        <x:v>28740</x:v>
      </x:c>
      <x:c r="C199" s="1" t="str">
        <x:v>Kingston, NY Metro Area</x:v>
      </x:c>
      <x:c r="D199" s="5" t="n">
        <x:v>2024</x:v>
      </x:c>
      <x:c r="E199" s="1" t="str">
        <x:v>ok</x:v>
      </x:c>
      <x:c r="F199" s="15" t="n">
        <x:v>22888</x:v>
      </x:c>
      <x:c r="G199" s="15" t="n">
        <x:v>1531</x:v>
      </x:c>
      <x:c r="H199" s="15" t="n">
        <x:v>21357</x:v>
      </x:c>
      <x:c r="I199" s="15" t="n">
        <x:v>11979</x:v>
      </x:c>
      <x:c r="J199" s="15" t="n">
        <x:v>6010</x:v>
      </x:c>
      <x:c r="K199" s="15" t="n">
        <x:v>56.089338</x:v>
      </x:c>
      <x:c r="L199" s="15" t="n">
        <x:v>28.140656</x:v>
      </x:c>
      <x:c r="M199" s="15" t="n">
        <x:v>6.689095</x:v>
      </x:c>
      <x:c r="N199" s="15" t="n">
        <x:v>22888</x:v>
      </x:c>
      <x:c r="O199" s="15" t="n">
        <x:v>2592</x:v>
      </x:c>
      <x:c r="P199" s="15" t="n">
        <x:v>592</x:v>
      </x:c>
      <x:c r="Q199" s="15" t="n">
        <x:v>532</x:v>
      </x:c>
      <x:c r="R199" s="15" t="n">
        <x:v>1747</x:v>
      </x:c>
      <x:c r="S199" s="15" t="n">
        <x:v>767</x:v>
      </x:c>
      <x:c r="T199" s="15" t="n">
        <x:v>1660</x:v>
      </x:c>
      <x:c r="U199" s="15" t="n">
        <x:v>661</x:v>
      </x:c>
      <x:c r="V199" s="15" t="n">
        <x:v>2391</x:v>
      </x:c>
      <x:c r="W199" s="15" t="n">
        <x:v>1204</x:v>
      </x:c>
      <x:c r="X199" s="15" t="n">
        <x:v>2988</x:v>
      </x:c>
      <x:c r="Y199" s="15" t="n">
        <x:v>1248</x:v>
      </x:c>
      <x:c r="Z199" s="15" t="n">
        <x:v>1417</x:v>
      </x:c>
      <x:c r="AA199" s="15" t="n">
        <x:v>718</x:v>
      </x:c>
      <x:c r="AB199" s="15" t="n">
        <x:v>1872</x:v>
      </x:c>
      <x:c r="AC199" s="15" t="n">
        <x:v>985</x:v>
      </x:c>
      <x:c r="AD199" s="15" t="n">
        <x:v>2680</x:v>
      </x:c>
      <x:c r="AE199" s="15" t="n">
        <x:v>1232</x:v>
      </x:c>
      <x:c r="AF199" s="15" t="n">
        <x:v>6010</x:v>
      </x:c>
      <x:c r="AG199" s="15" t="n">
        <x:v>1566</x:v>
      </x:c>
      <x:c r="AH199" s="15" t="n">
        <x:v>1531</x:v>
      </x:c>
      <x:c r="AI199" s="15" t="n">
        <x:v>569</x:v>
      </x:c>
    </x:row>
    <x:row r="200" ht="22" customHeight="1">
      <x:c r="A200" s="1" t="str">
        <x:v>310M700US28880</x:v>
      </x:c>
      <x:c r="B200" s="1" t="str">
        <x:v>28880</x:v>
      </x:c>
      <x:c r="C200" s="1" t="str">
        <x:v>Kiryas Joel-Poughkeepsie-Newburgh, NY Metro Area</x:v>
      </x:c>
      <x:c r="D200" s="5" t="n">
        <x:v>2024</x:v>
      </x:c>
      <x:c r="E200" s="1" t="str">
        <x:v>ok</x:v>
      </x:c>
      <x:c r="F200" s="15" t="n">
        <x:v>85488</x:v>
      </x:c>
      <x:c r="G200" s="15" t="n">
        <x:v>5507</x:v>
      </x:c>
      <x:c r="H200" s="15" t="n">
        <x:v>79981</x:v>
      </x:c>
      <x:c r="I200" s="15" t="n">
        <x:v>44539</x:v>
      </x:c>
      <x:c r="J200" s="15" t="n">
        <x:v>26172</x:v>
      </x:c>
      <x:c r="K200" s="15" t="n">
        <x:v>55.686976</x:v>
      </x:c>
      <x:c r="L200" s="15" t="n">
        <x:v>32.722772</x:v>
      </x:c>
      <x:c r="M200" s="15" t="n">
        <x:v>6.44184</x:v>
      </x:c>
      <x:c r="N200" s="15" t="n">
        <x:v>85488</x:v>
      </x:c>
      <x:c r="O200" s="15" t="n">
        <x:v>4084</x:v>
      </x:c>
      <x:c r="P200" s="15" t="n">
        <x:v>3190</x:v>
      </x:c>
      <x:c r="Q200" s="15" t="n">
        <x:v>1174</x:v>
      </x:c>
      <x:c r="R200" s="15" t="n">
        <x:v>3693</x:v>
      </x:c>
      <x:c r="S200" s="15" t="n">
        <x:v>1115</x:v>
      </x:c>
      <x:c r="T200" s="15" t="n">
        <x:v>10163</x:v>
      </x:c>
      <x:c r="U200" s="15" t="n">
        <x:v>1628</x:v>
      </x:c>
      <x:c r="V200" s="15" t="n">
        <x:v>9301</x:v>
      </x:c>
      <x:c r="W200" s="15" t="n">
        <x:v>1725</x:v>
      </x:c>
      <x:c r="X200" s="15" t="n">
        <x:v>9095</x:v>
      </x:c>
      <x:c r="Y200" s="15" t="n">
        <x:v>2052</x:v>
      </x:c>
      <x:c r="Z200" s="15" t="n">
        <x:v>6220</x:v>
      </x:c>
      <x:c r="AA200" s="15" t="n">
        <x:v>1507</x:v>
      </x:c>
      <x:c r="AB200" s="15" t="n">
        <x:v>4310</x:v>
      </x:c>
      <x:c r="AC200" s="15" t="n">
        <x:v>1389</x:v>
      </x:c>
      <x:c r="AD200" s="15" t="n">
        <x:v>7837</x:v>
      </x:c>
      <x:c r="AE200" s="15" t="n">
        <x:v>1575</x:v>
      </x:c>
      <x:c r="AF200" s="15" t="n">
        <x:v>26172</x:v>
      </x:c>
      <x:c r="AG200" s="15" t="n">
        <x:v>3238</x:v>
      </x:c>
      <x:c r="AH200" s="15" t="n">
        <x:v>5507</x:v>
      </x:c>
      <x:c r="AI200" s="15" t="n">
        <x:v>1464</x:v>
      </x:c>
    </x:row>
    <x:row r="201" ht="22" customHeight="1">
      <x:c r="A201" s="1" t="str">
        <x:v>310M700US28940</x:v>
      </x:c>
      <x:c r="B201" s="1" t="str">
        <x:v>28940</x:v>
      </x:c>
      <x:c r="C201" s="1" t="str">
        <x:v>Knoxville, TN Metro Area</x:v>
      </x:c>
      <x:c r="D201" s="5" t="n">
        <x:v>2024</x:v>
      </x:c>
      <x:c r="E201" s="1" t="str">
        <x:v>ok</x:v>
      </x:c>
      <x:c r="F201" s="15" t="n">
        <x:v>115399</x:v>
      </x:c>
      <x:c r="G201" s="15" t="n">
        <x:v>10019</x:v>
      </x:c>
      <x:c r="H201" s="15" t="n">
        <x:v>105380</x:v>
      </x:c>
      <x:c r="I201" s="15" t="n">
        <x:v>52033</x:v>
      </x:c>
      <x:c r="J201" s="15" t="n">
        <x:v>25272</x:v>
      </x:c>
      <x:c r="K201" s="15" t="n">
        <x:v>49.376542</x:v>
      </x:c>
      <x:c r="L201" s="15" t="n">
        <x:v>23.98178</x:v>
      </x:c>
      <x:c r="M201" s="15" t="n">
        <x:v>8.682051</x:v>
      </x:c>
      <x:c r="N201" s="15" t="n">
        <x:v>115399</x:v>
      </x:c>
      <x:c r="O201" s="15" t="n">
        <x:v>4302</x:v>
      </x:c>
      <x:c r="P201" s="15" t="n">
        <x:v>3556</x:v>
      </x:c>
      <x:c r="Q201" s="15" t="n">
        <x:v>1072</x:v>
      </x:c>
      <x:c r="R201" s="15" t="n">
        <x:v>7054</x:v>
      </x:c>
      <x:c r="S201" s="15" t="n">
        <x:v>1569</x:v>
      </x:c>
      <x:c r="T201" s="15" t="n">
        <x:v>14883</x:v>
      </x:c>
      <x:c r="U201" s="15" t="n">
        <x:v>2365</x:v>
      </x:c>
      <x:c r="V201" s="15" t="n">
        <x:v>14378</x:v>
      </x:c>
      <x:c r="W201" s="15" t="n">
        <x:v>2662</x:v>
      </x:c>
      <x:c r="X201" s="15" t="n">
        <x:v>13476</x:v>
      </x:c>
      <x:c r="Y201" s="15" t="n">
        <x:v>2242</x:v>
      </x:c>
      <x:c r="Z201" s="15" t="n">
        <x:v>9227</x:v>
      </x:c>
      <x:c r="AA201" s="15" t="n">
        <x:v>1599</x:v>
      </x:c>
      <x:c r="AB201" s="15" t="n">
        <x:v>7565</x:v>
      </x:c>
      <x:c r="AC201" s="15" t="n">
        <x:v>1743</x:v>
      </x:c>
      <x:c r="AD201" s="15" t="n">
        <x:v>9969</x:v>
      </x:c>
      <x:c r="AE201" s="15" t="n">
        <x:v>2123</x:v>
      </x:c>
      <x:c r="AF201" s="15" t="n">
        <x:v>25272</x:v>
      </x:c>
      <x:c r="AG201" s="15" t="n">
        <x:v>2579</x:v>
      </x:c>
      <x:c r="AH201" s="15" t="n">
        <x:v>10019</x:v>
      </x:c>
      <x:c r="AI201" s="15" t="n">
        <x:v>1962</x:v>
      </x:c>
    </x:row>
    <x:row r="202" ht="22" customHeight="1">
      <x:c r="A202" s="1" t="str">
        <x:v>310M700US29020</x:v>
      </x:c>
      <x:c r="B202" s="1" t="str">
        <x:v>29020</x:v>
      </x:c>
      <x:c r="C202" s="1" t="str">
        <x:v>Kokomo, IN Metro Area</x:v>
      </x:c>
      <x:c r="D202" s="5" t="n">
        <x:v>2024</x:v>
      </x:c>
      <x:c r="E202" s="1" t="str">
        <x:v>ok</x:v>
      </x:c>
      <x:c r="F202" s="15" t="n">
        <x:v>11344</x:v>
      </x:c>
      <x:c r="G202" s="15" t="n">
        <x:v>699</x:v>
      </x:c>
      <x:c r="H202" s="15" t="n">
        <x:v>10645</x:v>
      </x:c>
      <x:c r="I202" s="15" t="n">
        <x:v>4527</x:v>
      </x:c>
      <x:c r="J202" s="15" t="n">
        <x:v>2877</x:v>
      </x:c>
      <x:c r="K202" s="15" t="n">
        <x:v>42.527008</x:v>
      </x:c>
      <x:c r="L202" s="15" t="n">
        <x:v>27.026773</x:v>
      </x:c>
      <x:c r="M202" s="15" t="n">
        <x:v>6.161848</x:v>
      </x:c>
      <x:c r="N202" s="15" t="n">
        <x:v>11344</x:v>
      </x:c>
      <x:c r="O202" s="15" t="n">
        <x:v>1631</x:v>
      </x:c>
      <x:c r="P202" s="15" t="n">
        <x:v>537</x:v>
      </x:c>
      <x:c r="Q202" s="15" t="n">
        <x:v>377</x:v>
      </x:c>
      <x:c r="R202" s="15" t="n">
        <x:v>1995</x:v>
      </x:c>
      <x:c r="S202" s="15" t="n">
        <x:v>937</x:v>
      </x:c>
      <x:c r="T202" s="15" t="n">
        <x:v>1025</x:v>
      </x:c>
      <x:c r="U202" s="15" t="n">
        <x:v>625</x:v>
      </x:c>
      <x:c r="V202" s="15" t="n">
        <x:v>1270</x:v>
      </x:c>
      <x:c r="W202" s="15" t="n">
        <x:v>703</x:v>
      </x:c>
      <x:c r="X202" s="15" t="n">
        <x:v>1291</x:v>
      </x:c>
      <x:c r="Y202" s="15" t="n">
        <x:v>715</x:v>
      </x:c>
      <x:c r="Z202" s="15" t="n">
        <x:v>675</x:v>
      </x:c>
      <x:c r="AA202" s="15" t="n">
        <x:v>577</x:v>
      </x:c>
      <x:c r="AB202" s="15" t="n">
        <x:v>529</x:v>
      </x:c>
      <x:c r="AC202" s="15" t="n">
        <x:v>446</x:v>
      </x:c>
      <x:c r="AD202" s="15" t="n">
        <x:v>446</x:v>
      </x:c>
      <x:c r="AE202" s="15" t="n">
        <x:v>404</x:v>
      </x:c>
      <x:c r="AF202" s="15" t="n">
        <x:v>2877</x:v>
      </x:c>
      <x:c r="AG202" s="15" t="n">
        <x:v>1013</x:v>
      </x:c>
      <x:c r="AH202" s="15" t="n">
        <x:v>699</x:v>
      </x:c>
      <x:c r="AI202" s="15" t="n">
        <x:v>467</x:v>
      </x:c>
    </x:row>
    <x:row r="203" ht="22" customHeight="1">
      <x:c r="A203" s="1" t="str">
        <x:v>310M700US29100</x:v>
      </x:c>
      <x:c r="B203" s="1" t="str">
        <x:v>29100</x:v>
      </x:c>
      <x:c r="C203" s="1" t="str">
        <x:v>La Crosse-Onalaska, WI-MN Metro Area</x:v>
      </x:c>
      <x:c r="D203" s="5" t="n">
        <x:v>2024</x:v>
      </x:c>
      <x:c r="E203" s="1" t="str">
        <x:v>ok</x:v>
      </x:c>
      <x:c r="F203" s="15" t="n">
        <x:v>25453</x:v>
      </x:c>
      <x:c r="G203" s="15" t="n">
        <x:v>1018</x:v>
      </x:c>
      <x:c r="H203" s="15" t="n">
        <x:v>24435</x:v>
      </x:c>
      <x:c r="I203" s="15" t="n">
        <x:v>9626</x:v>
      </x:c>
      <x:c r="J203" s="15" t="n">
        <x:v>4023</x:v>
      </x:c>
      <x:c r="K203" s="15" t="n">
        <x:v>39.394311</x:v>
      </x:c>
      <x:c r="L203" s="15" t="n">
        <x:v>16.464088</x:v>
      </x:c>
      <x:c r="M203" s="15" t="n">
        <x:v>3.999529</x:v>
      </x:c>
      <x:c r="N203" s="15" t="n">
        <x:v>25453</x:v>
      </x:c>
      <x:c r="O203" s="15" t="n">
        <x:v>1965</x:v>
      </x:c>
      <x:c r="P203" s="15" t="n">
        <x:v>888</x:v>
      </x:c>
      <x:c r="Q203" s="15" t="n">
        <x:v>436</x:v>
      </x:c>
      <x:c r="R203" s="15" t="n">
        <x:v>2995</x:v>
      </x:c>
      <x:c r="S203" s="15" t="n">
        <x:v>984</x:v>
      </x:c>
      <x:c r="T203" s="15" t="n">
        <x:v>3535</x:v>
      </x:c>
      <x:c r="U203" s="15" t="n">
        <x:v>902</x:v>
      </x:c>
      <x:c r="V203" s="15" t="n">
        <x:v>4291</x:v>
      </x:c>
      <x:c r="W203" s="15" t="n">
        <x:v>1196</x:v>
      </x:c>
      <x:c r="X203" s="15" t="n">
        <x:v>3100</x:v>
      </x:c>
      <x:c r="Y203" s="15" t="n">
        <x:v>1121</x:v>
      </x:c>
      <x:c r="Z203" s="15" t="n">
        <x:v>2817</x:v>
      </x:c>
      <x:c r="AA203" s="15" t="n">
        <x:v>905</x:v>
      </x:c>
      <x:c r="AB203" s="15" t="n">
        <x:v>661</x:v>
      </x:c>
      <x:c r="AC203" s="15" t="n">
        <x:v>312</x:v>
      </x:c>
      <x:c r="AD203" s="15" t="n">
        <x:v>2125</x:v>
      </x:c>
      <x:c r="AE203" s="15" t="n">
        <x:v>811</x:v>
      </x:c>
      <x:c r="AF203" s="15" t="n">
        <x:v>4023</x:v>
      </x:c>
      <x:c r="AG203" s="15" t="n">
        <x:v>922</x:v>
      </x:c>
      <x:c r="AH203" s="15" t="n">
        <x:v>1018</x:v>
      </x:c>
      <x:c r="AI203" s="15" t="n">
        <x:v>455</x:v>
      </x:c>
    </x:row>
    <x:row r="204" ht="22" customHeight="1">
      <x:c r="A204" s="1" t="str">
        <x:v>310M700US29180</x:v>
      </x:c>
      <x:c r="B204" s="1" t="str">
        <x:v>29180</x:v>
      </x:c>
      <x:c r="C204" s="1" t="str">
        <x:v>Lafayette, LA Metro Area</x:v>
      </x:c>
      <x:c r="D204" s="5" t="n">
        <x:v>2024</x:v>
      </x:c>
      <x:c r="E204" s="1" t="str">
        <x:v>ok</x:v>
      </x:c>
      <x:c r="F204" s="15" t="n">
        <x:v>53008</x:v>
      </x:c>
      <x:c r="G204" s="15" t="n">
        <x:v>9336</x:v>
      </x:c>
      <x:c r="H204" s="15" t="n">
        <x:v>43672</x:v>
      </x:c>
      <x:c r="I204" s="15" t="n">
        <x:v>22073</x:v>
      </x:c>
      <x:c r="J204" s="15" t="n">
        <x:v>11261</x:v>
      </x:c>
      <x:c r="K204" s="15" t="n">
        <x:v>50.542682</x:v>
      </x:c>
      <x:c r="L204" s="15" t="n">
        <x:v>25.7854</x:v>
      </x:c>
      <x:c r="M204" s="15" t="n">
        <x:v>17.612436</x:v>
      </x:c>
      <x:c r="N204" s="15" t="n">
        <x:v>53008</x:v>
      </x:c>
      <x:c r="O204" s="15" t="n">
        <x:v>3511</x:v>
      </x:c>
      <x:c r="P204" s="15" t="n">
        <x:v>1850</x:v>
      </x:c>
      <x:c r="Q204" s="15" t="n">
        <x:v>600</x:v>
      </x:c>
      <x:c r="R204" s="15" t="n">
        <x:v>3401</x:v>
      </x:c>
      <x:c r="S204" s="15" t="n">
        <x:v>975</x:v>
      </x:c>
      <x:c r="T204" s="15" t="n">
        <x:v>5673</x:v>
      </x:c>
      <x:c r="U204" s="15" t="n">
        <x:v>1619</x:v>
      </x:c>
      <x:c r="V204" s="15" t="n">
        <x:v>4986</x:v>
      </x:c>
      <x:c r="W204" s="15" t="n">
        <x:v>1638</x:v>
      </x:c>
      <x:c r="X204" s="15" t="n">
        <x:v>5689</x:v>
      </x:c>
      <x:c r="Y204" s="15" t="n">
        <x:v>1784</x:v>
      </x:c>
      <x:c r="Z204" s="15" t="n">
        <x:v>3267</x:v>
      </x:c>
      <x:c r="AA204" s="15" t="n">
        <x:v>1163</x:v>
      </x:c>
      <x:c r="AB204" s="15" t="n">
        <x:v>4678</x:v>
      </x:c>
      <x:c r="AC204" s="15" t="n">
        <x:v>1534</x:v>
      </x:c>
      <x:c r="AD204" s="15" t="n">
        <x:v>2867</x:v>
      </x:c>
      <x:c r="AE204" s="15" t="n">
        <x:v>1018</x:v>
      </x:c>
      <x:c r="AF204" s="15" t="n">
        <x:v>11261</x:v>
      </x:c>
      <x:c r="AG204" s="15" t="n">
        <x:v>2486</x:v>
      </x:c>
      <x:c r="AH204" s="15" t="n">
        <x:v>9336</x:v>
      </x:c>
      <x:c r="AI204" s="15" t="n">
        <x:v>2241</x:v>
      </x:c>
    </x:row>
    <x:row r="205" ht="22" customHeight="1">
      <x:c r="A205" s="1" t="str">
        <x:v>310M700US29200</x:v>
      </x:c>
      <x:c r="B205" s="1" t="str">
        <x:v>29200</x:v>
      </x:c>
      <x:c r="C205" s="1" t="str">
        <x:v>Lafayette-West Lafayette, IN Metro Area</x:v>
      </x:c>
      <x:c r="D205" s="5" t="n">
        <x:v>2024</x:v>
      </x:c>
      <x:c r="E205" s="1" t="str">
        <x:v>ok</x:v>
      </x:c>
      <x:c r="F205" s="15" t="n">
        <x:v>40802</x:v>
      </x:c>
      <x:c r="G205" s="15" t="n">
        <x:v>2602</x:v>
      </x:c>
      <x:c r="H205" s="15" t="n">
        <x:v>38200</x:v>
      </x:c>
      <x:c r="I205" s="15" t="n">
        <x:v>22410</x:v>
      </x:c>
      <x:c r="J205" s="15" t="n">
        <x:v>10444</x:v>
      </x:c>
      <x:c r="K205" s="15" t="n">
        <x:v>58.664921</x:v>
      </x:c>
      <x:c r="L205" s="15" t="n">
        <x:v>27.340314</x:v>
      </x:c>
      <x:c r="M205" s="15" t="n">
        <x:v>6.377138</x:v>
      </x:c>
      <x:c r="N205" s="15" t="n">
        <x:v>40802</x:v>
      </x:c>
      <x:c r="O205" s="15" t="n">
        <x:v>2129</x:v>
      </x:c>
      <x:c r="P205" s="15" t="n">
        <x:v>1794</x:v>
      </x:c>
      <x:c r="Q205" s="15" t="n">
        <x:v>1310</x:v>
      </x:c>
      <x:c r="R205" s="15" t="n">
        <x:v>2613</x:v>
      </x:c>
      <x:c r="S205" s="15" t="n">
        <x:v>757</x:v>
      </x:c>
      <x:c r="T205" s="15" t="n">
        <x:v>3201</x:v>
      </x:c>
      <x:c r="U205" s="15" t="n">
        <x:v>1041</x:v>
      </x:c>
      <x:c r="V205" s="15" t="n">
        <x:v>4325</x:v>
      </x:c>
      <x:c r="W205" s="15" t="n">
        <x:v>1492</x:v>
      </x:c>
      <x:c r="X205" s="15" t="n">
        <x:v>3857</x:v>
      </x:c>
      <x:c r="Y205" s="15" t="n">
        <x:v>1239</x:v>
      </x:c>
      <x:c r="Z205" s="15" t="n">
        <x:v>5151</x:v>
      </x:c>
      <x:c r="AA205" s="15" t="n">
        <x:v>1348</x:v>
      </x:c>
      <x:c r="AB205" s="15" t="n">
        <x:v>2705</x:v>
      </x:c>
      <x:c r="AC205" s="15" t="n">
        <x:v>1192</x:v>
      </x:c>
      <x:c r="AD205" s="15" t="n">
        <x:v>4110</x:v>
      </x:c>
      <x:c r="AE205" s="15" t="n">
        <x:v>1537</x:v>
      </x:c>
      <x:c r="AF205" s="15" t="n">
        <x:v>10444</x:v>
      </x:c>
      <x:c r="AG205" s="15" t="n">
        <x:v>2013</x:v>
      </x:c>
      <x:c r="AH205" s="15" t="n">
        <x:v>2602</x:v>
      </x:c>
      <x:c r="AI205" s="15" t="n">
        <x:v>883</x:v>
      </x:c>
    </x:row>
    <x:row r="206" ht="22" customHeight="1">
      <x:c r="A206" s="1" t="str">
        <x:v>310M700US29340</x:v>
      </x:c>
      <x:c r="B206" s="1" t="str">
        <x:v>29340</x:v>
      </x:c>
      <x:c r="C206" s="1" t="str">
        <x:v>Lake Charles, LA Metro Area</x:v>
      </x:c>
      <x:c r="D206" s="5" t="n">
        <x:v>2024</x:v>
      </x:c>
      <x:c r="E206" s="1" t="str">
        <x:v>ok</x:v>
      </x:c>
      <x:c r="F206" s="15" t="n">
        <x:v>25769</x:v>
      </x:c>
      <x:c r="G206" s="15" t="n">
        <x:v>3051</x:v>
      </x:c>
      <x:c r="H206" s="15" t="n">
        <x:v>22718</x:v>
      </x:c>
      <x:c r="I206" s="15" t="n">
        <x:v>10219</x:v>
      </x:c>
      <x:c r="J206" s="15" t="n">
        <x:v>6339</x:v>
      </x:c>
      <x:c r="K206" s="15" t="n">
        <x:v>44.981953</x:v>
      </x:c>
      <x:c r="L206" s="15" t="n">
        <x:v>27.902984</x:v>
      </x:c>
      <x:c r="M206" s="15" t="n">
        <x:v>11.839808</x:v>
      </x:c>
      <x:c r="N206" s="15" t="n">
        <x:v>25769</x:v>
      </x:c>
      <x:c r="O206" s="15" t="n">
        <x:v>2874</x:v>
      </x:c>
      <x:c r="P206" s="15" t="n">
        <x:v>1232</x:v>
      </x:c>
      <x:c r="Q206" s="15" t="n">
        <x:v>870</x:v>
      </x:c>
      <x:c r="R206" s="15" t="n">
        <x:v>2542</x:v>
      </x:c>
      <x:c r="S206" s="15" t="n">
        <x:v>1024</x:v>
      </x:c>
      <x:c r="T206" s="15" t="n">
        <x:v>2882</x:v>
      </x:c>
      <x:c r="U206" s="15" t="n">
        <x:v>1217</x:v>
      </x:c>
      <x:c r="V206" s="15" t="n">
        <x:v>2743</x:v>
      </x:c>
      <x:c r="W206" s="15" t="n">
        <x:v>1039</x:v>
      </x:c>
      <x:c r="X206" s="15" t="n">
        <x:v>3100</x:v>
      </x:c>
      <x:c r="Y206" s="15" t="n">
        <x:v>1594</x:v>
      </x:c>
      <x:c r="Z206" s="15" t="n">
        <x:v>1357</x:v>
      </x:c>
      <x:c r="AA206" s="15" t="n">
        <x:v>724</x:v>
      </x:c>
      <x:c r="AB206" s="15" t="n">
        <x:v>1187</x:v>
      </x:c>
      <x:c r="AC206" s="15" t="n">
        <x:v>677</x:v>
      </x:c>
      <x:c r="AD206" s="15" t="n">
        <x:v>1336</x:v>
      </x:c>
      <x:c r="AE206" s="15" t="n">
        <x:v>830</x:v>
      </x:c>
      <x:c r="AF206" s="15" t="n">
        <x:v>6339</x:v>
      </x:c>
      <x:c r="AG206" s="15" t="n">
        <x:v>1743</x:v>
      </x:c>
      <x:c r="AH206" s="15" t="n">
        <x:v>3051</x:v>
      </x:c>
      <x:c r="AI206" s="15" t="n">
        <x:v>1047</x:v>
      </x:c>
    </x:row>
    <x:row r="207" ht="22" customHeight="1">
      <x:c r="A207" s="1" t="str">
        <x:v>310M700US29420</x:v>
      </x:c>
      <x:c r="B207" s="1" t="str">
        <x:v>29420</x:v>
      </x:c>
      <x:c r="C207" s="1" t="str">
        <x:v>Lake Havasu City-Kingman, AZ Metro Area</x:v>
      </x:c>
      <x:c r="D207" s="5" t="n">
        <x:v>2024</x:v>
      </x:c>
      <x:c r="E207" s="1" t="str">
        <x:v>ok</x:v>
      </x:c>
      <x:c r="F207" s="15" t="n">
        <x:v>29694</x:v>
      </x:c>
      <x:c r="G207" s="15" t="n">
        <x:v>3067</x:v>
      </x:c>
      <x:c r="H207" s="15" t="n">
        <x:v>26627</x:v>
      </x:c>
      <x:c r="I207" s="15" t="n">
        <x:v>12198</x:v>
      </x:c>
      <x:c r="J207" s="15" t="n">
        <x:v>4445</x:v>
      </x:c>
      <x:c r="K207" s="15" t="n">
        <x:v>45.810643</x:v>
      </x:c>
      <x:c r="L207" s="15" t="n">
        <x:v>16.693582</x:v>
      </x:c>
      <x:c r="M207" s="15" t="n">
        <x:v>10.328686</x:v>
      </x:c>
      <x:c r="N207" s="15" t="n">
        <x:v>29694</x:v>
      </x:c>
      <x:c r="O207" s="15" t="n">
        <x:v>3406</x:v>
      </x:c>
      <x:c r="P207" s="15" t="n">
        <x:v>1696</x:v>
      </x:c>
      <x:c r="Q207" s="15" t="n">
        <x:v>1002</x:v>
      </x:c>
      <x:c r="R207" s="15" t="n">
        <x:v>2682</x:v>
      </x:c>
      <x:c r="S207" s="15" t="n">
        <x:v>1427</x:v>
      </x:c>
      <x:c r="T207" s="15" t="n">
        <x:v>3846</x:v>
      </x:c>
      <x:c r="U207" s="15" t="n">
        <x:v>1315</x:v>
      </x:c>
      <x:c r="V207" s="15" t="n">
        <x:v>2405</x:v>
      </x:c>
      <x:c r="W207" s="15" t="n">
        <x:v>1149</x:v>
      </x:c>
      <x:c r="X207" s="15" t="n">
        <x:v>3800</x:v>
      </x:c>
      <x:c r="Y207" s="15" t="n">
        <x:v>1425</x:v>
      </x:c>
      <x:c r="Z207" s="15" t="n">
        <x:v>2429</x:v>
      </x:c>
      <x:c r="AA207" s="15" t="n">
        <x:v>1116</x:v>
      </x:c>
      <x:c r="AB207" s="15" t="n">
        <x:v>1364</x:v>
      </x:c>
      <x:c r="AC207" s="15" t="n">
        <x:v>882</x:v>
      </x:c>
      <x:c r="AD207" s="15" t="n">
        <x:v>3960</x:v>
      </x:c>
      <x:c r="AE207" s="15" t="n">
        <x:v>1551</x:v>
      </x:c>
      <x:c r="AF207" s="15" t="n">
        <x:v>4445</x:v>
      </x:c>
      <x:c r="AG207" s="15" t="n">
        <x:v>1592</x:v>
      </x:c>
      <x:c r="AH207" s="15" t="n">
        <x:v>3067</x:v>
      </x:c>
      <x:c r="AI207" s="15" t="n">
        <x:v>1185</x:v>
      </x:c>
    </x:row>
    <x:row r="208" ht="22" customHeight="1">
      <x:c r="A208" s="1" t="str">
        <x:v>310M700US29460</x:v>
      </x:c>
      <x:c r="B208" s="1" t="str">
        <x:v>29460</x:v>
      </x:c>
      <x:c r="C208" s="1" t="str">
        <x:v>Lakeland-Winter Haven, FL Metro Area</x:v>
      </x:c>
      <x:c r="D208" s="5" t="n">
        <x:v>2024</x:v>
      </x:c>
      <x:c r="E208" s="1" t="str">
        <x:v>ok</x:v>
      </x:c>
      <x:c r="F208" s="15" t="n">
        <x:v>87285</x:v>
      </x:c>
      <x:c r="G208" s="15" t="n">
        <x:v>3623</x:v>
      </x:c>
      <x:c r="H208" s="15" t="n">
        <x:v>83662</x:v>
      </x:c>
      <x:c r="I208" s="15" t="n">
        <x:v>46127</x:v>
      </x:c>
      <x:c r="J208" s="15" t="n">
        <x:v>22667</x:v>
      </x:c>
      <x:c r="K208" s="15" t="n">
        <x:v>55.134948</x:v>
      </x:c>
      <x:c r="L208" s="15" t="n">
        <x:v>27.093543</x:v>
      </x:c>
      <x:c r="M208" s="15" t="n">
        <x:v>4.15077</x:v>
      </x:c>
      <x:c r="N208" s="15" t="n">
        <x:v>87285</x:v>
      </x:c>
      <x:c r="O208" s="15" t="n">
        <x:v>5948</x:v>
      </x:c>
      <x:c r="P208" s="15" t="n">
        <x:v>2278</x:v>
      </x:c>
      <x:c r="Q208" s="15" t="n">
        <x:v>1048</x:v>
      </x:c>
      <x:c r="R208" s="15" t="n">
        <x:v>6228</x:v>
      </x:c>
      <x:c r="S208" s="15" t="n">
        <x:v>2034</x:v>
      </x:c>
      <x:c r="T208" s="15" t="n">
        <x:v>8929</x:v>
      </x:c>
      <x:c r="U208" s="15" t="n">
        <x:v>2385</x:v>
      </x:c>
      <x:c r="V208" s="15" t="n">
        <x:v>11520</x:v>
      </x:c>
      <x:c r="W208" s="15" t="n">
        <x:v>2596</x:v>
      </x:c>
      <x:c r="X208" s="15" t="n">
        <x:v>8580</x:v>
      </x:c>
      <x:c r="Y208" s="15" t="n">
        <x:v>1937</x:v>
      </x:c>
      <x:c r="Z208" s="15" t="n">
        <x:v>8240</x:v>
      </x:c>
      <x:c r="AA208" s="15" t="n">
        <x:v>2027</x:v>
      </x:c>
      <x:c r="AB208" s="15" t="n">
        <x:v>7897</x:v>
      </x:c>
      <x:c r="AC208" s="15" t="n">
        <x:v>2441</x:v>
      </x:c>
      <x:c r="AD208" s="15" t="n">
        <x:v>7323</x:v>
      </x:c>
      <x:c r="AE208" s="15" t="n">
        <x:v>2042</x:v>
      </x:c>
      <x:c r="AF208" s="15" t="n">
        <x:v>22667</x:v>
      </x:c>
      <x:c r="AG208" s="15" t="n">
        <x:v>3189</x:v>
      </x:c>
      <x:c r="AH208" s="15" t="n">
        <x:v>3623</x:v>
      </x:c>
      <x:c r="AI208" s="15" t="n">
        <x:v>1085</x:v>
      </x:c>
    </x:row>
    <x:row r="209" ht="22" customHeight="1">
      <x:c r="A209" s="1" t="str">
        <x:v>310M700US29540</x:v>
      </x:c>
      <x:c r="B209" s="1" t="str">
        <x:v>29540</x:v>
      </x:c>
      <x:c r="C209" s="1" t="str">
        <x:v>Lancaster, PA Metro Area</x:v>
      </x:c>
      <x:c r="D209" s="5" t="n">
        <x:v>2024</x:v>
      </x:c>
      <x:c r="E209" s="1" t="str">
        <x:v>ok</x:v>
      </x:c>
      <x:c r="F209" s="15" t="n">
        <x:v>66062</x:v>
      </x:c>
      <x:c r="G209" s="15" t="n">
        <x:v>3526</x:v>
      </x:c>
      <x:c r="H209" s="15" t="n">
        <x:v>62536</x:v>
      </x:c>
      <x:c r="I209" s="15" t="n">
        <x:v>30235</x:v>
      </x:c>
      <x:c r="J209" s="15" t="n">
        <x:v>13545</x:v>
      </x:c>
      <x:c r="K209" s="15" t="n">
        <x:v>48.348151</x:v>
      </x:c>
      <x:c r="L209" s="15" t="n">
        <x:v>21.659524</x:v>
      </x:c>
      <x:c r="M209" s="15" t="n">
        <x:v>5.33741</x:v>
      </x:c>
      <x:c r="N209" s="15" t="n">
        <x:v>66062</x:v>
      </x:c>
      <x:c r="O209" s="15" t="n">
        <x:v>3851</x:v>
      </x:c>
      <x:c r="P209" s="15" t="n">
        <x:v>2825</x:v>
      </x:c>
      <x:c r="Q209" s="15" t="n">
        <x:v>1066</x:v>
      </x:c>
      <x:c r="R209" s="15" t="n">
        <x:v>4878</x:v>
      </x:c>
      <x:c r="S209" s="15" t="n">
        <x:v>1351</x:v>
      </x:c>
      <x:c r="T209" s="15" t="n">
        <x:v>7948</x:v>
      </x:c>
      <x:c r="U209" s="15" t="n">
        <x:v>1667</x:v>
      </x:c>
      <x:c r="V209" s="15" t="n">
        <x:v>9043</x:v>
      </x:c>
      <x:c r="W209" s="15" t="n">
        <x:v>1578</x:v>
      </x:c>
      <x:c r="X209" s="15" t="n">
        <x:v>7607</x:v>
      </x:c>
      <x:c r="Y209" s="15" t="n">
        <x:v>1608</x:v>
      </x:c>
      <x:c r="Z209" s="15" t="n">
        <x:v>5621</x:v>
      </x:c>
      <x:c r="AA209" s="15" t="n">
        <x:v>1569</x:v>
      </x:c>
      <x:c r="AB209" s="15" t="n">
        <x:v>3925</x:v>
      </x:c>
      <x:c r="AC209" s="15" t="n">
        <x:v>1194</x:v>
      </x:c>
      <x:c r="AD209" s="15" t="n">
        <x:v>7144</x:v>
      </x:c>
      <x:c r="AE209" s="15" t="n">
        <x:v>1765</x:v>
      </x:c>
      <x:c r="AF209" s="15" t="n">
        <x:v>13545</x:v>
      </x:c>
      <x:c r="AG209" s="15" t="n">
        <x:v>2074</x:v>
      </x:c>
      <x:c r="AH209" s="15" t="n">
        <x:v>3526</x:v>
      </x:c>
      <x:c r="AI209" s="15" t="n">
        <x:v>862</x:v>
      </x:c>
    </x:row>
    <x:row r="210" ht="22" customHeight="1">
      <x:c r="A210" s="1" t="str">
        <x:v>310M700US29620</x:v>
      </x:c>
      <x:c r="B210" s="1" t="str">
        <x:v>29620</x:v>
      </x:c>
      <x:c r="C210" s="1" t="str">
        <x:v>Lansing-East Lansing, MI Metro Area</x:v>
      </x:c>
      <x:c r="D210" s="5" t="n">
        <x:v>2024</x:v>
      </x:c>
      <x:c r="E210" s="1" t="str">
        <x:v>ok</x:v>
      </x:c>
      <x:c r="F210" s="15" t="n">
        <x:v>68083</x:v>
      </x:c>
      <x:c r="G210" s="15" t="n">
        <x:v>3505</x:v>
      </x:c>
      <x:c r="H210" s="15" t="n">
        <x:v>64578</x:v>
      </x:c>
      <x:c r="I210" s="15" t="n">
        <x:v>33809</x:v>
      </x:c>
      <x:c r="J210" s="15" t="n">
        <x:v>18487</x:v>
      </x:c>
      <x:c r="K210" s="15" t="n">
        <x:v>52.353743</x:v>
      </x:c>
      <x:c r="L210" s="15" t="n">
        <x:v>28.627396</x:v>
      </x:c>
      <x:c r="M210" s="15" t="n">
        <x:v>5.148128</x:v>
      </x:c>
      <x:c r="N210" s="15" t="n">
        <x:v>68083</x:v>
      </x:c>
      <x:c r="O210" s="15" t="n">
        <x:v>3205</x:v>
      </x:c>
      <x:c r="P210" s="15" t="n">
        <x:v>2121</x:v>
      </x:c>
      <x:c r="Q210" s="15" t="n">
        <x:v>843</x:v>
      </x:c>
      <x:c r="R210" s="15" t="n">
        <x:v>6164</x:v>
      </x:c>
      <x:c r="S210" s="15" t="n">
        <x:v>1356</x:v>
      </x:c>
      <x:c r="T210" s="15" t="n">
        <x:v>6612</x:v>
      </x:c>
      <x:c r="U210" s="15" t="n">
        <x:v>1284</x:v>
      </x:c>
      <x:c r="V210" s="15" t="n">
        <x:v>8397</x:v>
      </x:c>
      <x:c r="W210" s="15" t="n">
        <x:v>1793</x:v>
      </x:c>
      <x:c r="X210" s="15" t="n">
        <x:v>7475</x:v>
      </x:c>
      <x:c r="Y210" s="15" t="n">
        <x:v>1513</x:v>
      </x:c>
      <x:c r="Z210" s="15" t="n">
        <x:v>4696</x:v>
      </x:c>
      <x:c r="AA210" s="15" t="n">
        <x:v>1399</x:v>
      </x:c>
      <x:c r="AB210" s="15" t="n">
        <x:v>4410</x:v>
      </x:c>
      <x:c r="AC210" s="15" t="n">
        <x:v>1173</x:v>
      </x:c>
      <x:c r="AD210" s="15" t="n">
        <x:v>6216</x:v>
      </x:c>
      <x:c r="AE210" s="15" t="n">
        <x:v>1483</x:v>
      </x:c>
      <x:c r="AF210" s="15" t="n">
        <x:v>18487</x:v>
      </x:c>
      <x:c r="AG210" s="15" t="n">
        <x:v>2762</x:v>
      </x:c>
      <x:c r="AH210" s="15" t="n">
        <x:v>3505</x:v>
      </x:c>
      <x:c r="AI210" s="15" t="n">
        <x:v>1039</x:v>
      </x:c>
    </x:row>
    <x:row r="211" ht="22" customHeight="1">
      <x:c r="A211" s="1" t="str">
        <x:v>310M700US29700</x:v>
      </x:c>
      <x:c r="B211" s="1" t="str">
        <x:v>29700</x:v>
      </x:c>
      <x:c r="C211" s="1" t="str">
        <x:v>Laredo, TX Metro Area</x:v>
      </x:c>
      <x:c r="D211" s="5" t="n">
        <x:v>2024</x:v>
      </x:c>
      <x:c r="E211" s="1" t="str">
        <x:v>ok</x:v>
      </x:c>
      <x:c r="F211" s="15" t="n">
        <x:v>29300</x:v>
      </x:c>
      <x:c r="G211" s="15" t="n">
        <x:v>2627</x:v>
      </x:c>
      <x:c r="H211" s="15" t="n">
        <x:v>26673</x:v>
      </x:c>
      <x:c r="I211" s="15" t="n">
        <x:v>15941</x:v>
      </x:c>
      <x:c r="J211" s="15" t="n">
        <x:v>8436</x:v>
      </x:c>
      <x:c r="K211" s="15" t="n">
        <x:v>59.764556</x:v>
      </x:c>
      <x:c r="L211" s="15" t="n">
        <x:v>31.627488</x:v>
      </x:c>
      <x:c r="M211" s="15" t="n">
        <x:v>8.96587</x:v>
      </x:c>
      <x:c r="N211" s="15" t="n">
        <x:v>29300</x:v>
      </x:c>
      <x:c r="O211" s="15" t="n">
        <x:v>2399</x:v>
      </x:c>
      <x:c r="P211" s="15" t="n">
        <x:v>1600</x:v>
      </x:c>
      <x:c r="Q211" s="15" t="n">
        <x:v>1130</x:v>
      </x:c>
      <x:c r="R211" s="15" t="n">
        <x:v>1572</x:v>
      </x:c>
      <x:c r="S211" s="15" t="n">
        <x:v>994</x:v>
      </x:c>
      <x:c r="T211" s="15" t="n">
        <x:v>2893</x:v>
      </x:c>
      <x:c r="U211" s="15" t="n">
        <x:v>963</x:v>
      </x:c>
      <x:c r="V211" s="15" t="n">
        <x:v>2590</x:v>
      </x:c>
      <x:c r="W211" s="15" t="n">
        <x:v>755</x:v>
      </x:c>
      <x:c r="X211" s="15" t="n">
        <x:v>2077</x:v>
      </x:c>
      <x:c r="Y211" s="15" t="n">
        <x:v>762</x:v>
      </x:c>
      <x:c r="Z211" s="15" t="n">
        <x:v>3376</x:v>
      </x:c>
      <x:c r="AA211" s="15" t="n">
        <x:v>1402</x:v>
      </x:c>
      <x:c r="AB211" s="15" t="n">
        <x:v>2055</x:v>
      </x:c>
      <x:c r="AC211" s="15" t="n">
        <x:v>835</x:v>
      </x:c>
      <x:c r="AD211" s="15" t="n">
        <x:v>2074</x:v>
      </x:c>
      <x:c r="AE211" s="15" t="n">
        <x:v>957</x:v>
      </x:c>
      <x:c r="AF211" s="15" t="n">
        <x:v>8436</x:v>
      </x:c>
      <x:c r="AG211" s="15" t="n">
        <x:v>1805</x:v>
      </x:c>
      <x:c r="AH211" s="15" t="n">
        <x:v>2627</x:v>
      </x:c>
      <x:c r="AI211" s="15" t="n">
        <x:v>847</x:v>
      </x:c>
    </x:row>
    <x:row r="212" ht="22" customHeight="1">
      <x:c r="A212" s="1" t="str">
        <x:v>310M700US29740</x:v>
      </x:c>
      <x:c r="B212" s="1" t="str">
        <x:v>29740</x:v>
      </x:c>
      <x:c r="C212" s="1" t="str">
        <x:v>Las Cruces, NM Metro Area</x:v>
      </x:c>
      <x:c r="D212" s="5" t="n">
        <x:v>2024</x:v>
      </x:c>
      <x:c r="E212" s="1" t="str">
        <x:v>ok</x:v>
      </x:c>
      <x:c r="F212" s="15" t="n">
        <x:v>28606</x:v>
      </x:c>
      <x:c r="G212" s="15" t="n">
        <x:v>2635</x:v>
      </x:c>
      <x:c r="H212" s="15" t="n">
        <x:v>25971</x:v>
      </x:c>
      <x:c r="I212" s="15" t="n">
        <x:v>12084</x:v>
      </x:c>
      <x:c r="J212" s="15" t="n">
        <x:v>6213</x:v>
      </x:c>
      <x:c r="K212" s="15" t="n">
        <x:v>46.528821</x:v>
      </x:c>
      <x:c r="L212" s="15" t="n">
        <x:v>23.922837</x:v>
      </x:c>
      <x:c r="M212" s="15" t="n">
        <x:v>9.211354</x:v>
      </x:c>
      <x:c r="N212" s="15" t="n">
        <x:v>28606</x:v>
      </x:c>
      <x:c r="O212" s="15" t="n">
        <x:v>2848</x:v>
      </x:c>
      <x:c r="P212" s="15" t="n">
        <x:v>810</x:v>
      </x:c>
      <x:c r="Q212" s="15" t="n">
        <x:v>441</x:v>
      </x:c>
      <x:c r="R212" s="15" t="n">
        <x:v>2376</x:v>
      </x:c>
      <x:c r="S212" s="15" t="n">
        <x:v>978</x:v>
      </x:c>
      <x:c r="T212" s="15" t="n">
        <x:v>3301</x:v>
      </x:c>
      <x:c r="U212" s="15" t="n">
        <x:v>1398</x:v>
      </x:c>
      <x:c r="V212" s="15" t="n">
        <x:v>3286</x:v>
      </x:c>
      <x:c r="W212" s="15" t="n">
        <x:v>1181</x:v>
      </x:c>
      <x:c r="X212" s="15" t="n">
        <x:v>4114</x:v>
      </x:c>
      <x:c r="Y212" s="15" t="n">
        <x:v>1656</x:v>
      </x:c>
      <x:c r="Z212" s="15" t="n">
        <x:v>2241</x:v>
      </x:c>
      <x:c r="AA212" s="15" t="n">
        <x:v>948</x:v>
      </x:c>
      <x:c r="AB212" s="15" t="n">
        <x:v>1627</x:v>
      </x:c>
      <x:c r="AC212" s="15" t="n">
        <x:v>902</x:v>
      </x:c>
      <x:c r="AD212" s="15" t="n">
        <x:v>2003</x:v>
      </x:c>
      <x:c r="AE212" s="15" t="n">
        <x:v>802</x:v>
      </x:c>
      <x:c r="AF212" s="15" t="n">
        <x:v>6213</x:v>
      </x:c>
      <x:c r="AG212" s="15" t="n">
        <x:v>2012</x:v>
      </x:c>
      <x:c r="AH212" s="15" t="n">
        <x:v>2635</x:v>
      </x:c>
      <x:c r="AI212" s="15" t="n">
        <x:v>982</x:v>
      </x:c>
    </x:row>
    <x:row r="213" ht="22" customHeight="1">
      <x:c r="A213" s="1" t="str">
        <x:v>310M700US29820</x:v>
      </x:c>
      <x:c r="B213" s="1" t="str">
        <x:v>29820</x:v>
      </x:c>
      <x:c r="C213" s="1" t="str">
        <x:v>Las Vegas-Henderson-North Las Vegas, NV Metro Area</x:v>
      </x:c>
      <x:c r="D213" s="5" t="n">
        <x:v>2024</x:v>
      </x:c>
      <x:c r="E213" s="1" t="str">
        <x:v>ok</x:v>
      </x:c>
      <x:c r="F213" s="15" t="n">
        <x:v>375458</x:v>
      </x:c>
      <x:c r="G213" s="15" t="n">
        <x:v>16699</x:v>
      </x:c>
      <x:c r="H213" s="15" t="n">
        <x:v>358759</x:v>
      </x:c>
      <x:c r="I213" s="15" t="n">
        <x:v>214852</x:v>
      </x:c>
      <x:c r="J213" s="15" t="n">
        <x:v>111430</x:v>
      </x:c>
      <x:c r="K213" s="15" t="n">
        <x:v>59.887557</x:v>
      </x:c>
      <x:c r="L213" s="15" t="n">
        <x:v>31.059848</x:v>
      </x:c>
      <x:c r="M213" s="15" t="n">
        <x:v>4.447635</x:v>
      </x:c>
      <x:c r="N213" s="15" t="n">
        <x:v>375458</x:v>
      </x:c>
      <x:c r="O213" s="15" t="n">
        <x:v>8506</x:v>
      </x:c>
      <x:c r="P213" s="15" t="n">
        <x:v>5010</x:v>
      </x:c>
      <x:c r="Q213" s="15" t="n">
        <x:v>1602</x:v>
      </x:c>
      <x:c r="R213" s="15" t="n">
        <x:v>19350</x:v>
      </x:c>
      <x:c r="S213" s="15" t="n">
        <x:v>3053</x:v>
      </x:c>
      <x:c r="T213" s="15" t="n">
        <x:v>35185</x:v>
      </x:c>
      <x:c r="U213" s="15" t="n">
        <x:v>3717</x:v>
      </x:c>
      <x:c r="V213" s="15" t="n">
        <x:v>45748</x:v>
      </x:c>
      <x:c r="W213" s="15" t="n">
        <x:v>4143</x:v>
      </x:c>
      <x:c r="X213" s="15" t="n">
        <x:v>38614</x:v>
      </x:c>
      <x:c r="Y213" s="15" t="n">
        <x:v>4169</x:v>
      </x:c>
      <x:c r="Z213" s="15" t="n">
        <x:v>33867</x:v>
      </x:c>
      <x:c r="AA213" s="15" t="n">
        <x:v>3888</x:v>
      </x:c>
      <x:c r="AB213" s="15" t="n">
        <x:v>27366</x:v>
      </x:c>
      <x:c r="AC213" s="15" t="n">
        <x:v>3288</x:v>
      </x:c>
      <x:c r="AD213" s="15" t="n">
        <x:v>42189</x:v>
      </x:c>
      <x:c r="AE213" s="15" t="n">
        <x:v>3931</x:v>
      </x:c>
      <x:c r="AF213" s="15" t="n">
        <x:v>111430</x:v>
      </x:c>
      <x:c r="AG213" s="15" t="n">
        <x:v>7741</x:v>
      </x:c>
      <x:c r="AH213" s="15" t="n">
        <x:v>16699</x:v>
      </x:c>
      <x:c r="AI213" s="15" t="n">
        <x:v>2834</x:v>
      </x:c>
    </x:row>
    <x:row r="214" ht="22" customHeight="1">
      <x:c r="A214" s="1" t="str">
        <x:v>310M700US29940</x:v>
      </x:c>
      <x:c r="B214" s="1" t="str">
        <x:v>29940</x:v>
      </x:c>
      <x:c r="C214" s="1" t="str">
        <x:v>Lawrence, KS Metro Area</x:v>
      </x:c>
      <x:c r="D214" s="5" t="n">
        <x:v>2024</x:v>
      </x:c>
      <x:c r="E214" s="1" t="str">
        <x:v>ok</x:v>
      </x:c>
      <x:c r="F214" s="15" t="n">
        <x:v>25187</x:v>
      </x:c>
      <x:c r="G214" s="15" t="n">
        <x:v>674</x:v>
      </x:c>
      <x:c r="H214" s="15" t="n">
        <x:v>24513</x:v>
      </x:c>
      <x:c r="I214" s="15" t="n">
        <x:v>12231</x:v>
      </x:c>
      <x:c r="J214" s="15" t="n">
        <x:v>6729</x:v>
      </x:c>
      <x:c r="K214" s="15" t="n">
        <x:v>49.895974</x:v>
      </x:c>
      <x:c r="L214" s="15" t="n">
        <x:v>27.45074</x:v>
      </x:c>
      <x:c r="M214" s="15" t="n">
        <x:v>2.675984</x:v>
      </x:c>
      <x:c r="N214" s="15" t="n">
        <x:v>25187</x:v>
      </x:c>
      <x:c r="O214" s="15" t="n">
        <x:v>2009</x:v>
      </x:c>
      <x:c r="P214" s="15" t="n">
        <x:v>530</x:v>
      </x:c>
      <x:c r="Q214" s="15" t="n">
        <x:v>385</x:v>
      </x:c>
      <x:c r="R214" s="15" t="n">
        <x:v>2523</x:v>
      </x:c>
      <x:c r="S214" s="15" t="n">
        <x:v>943</x:v>
      </x:c>
      <x:c r="T214" s="15" t="n">
        <x:v>2676</x:v>
      </x:c>
      <x:c r="U214" s="15" t="n">
        <x:v>855</x:v>
      </x:c>
      <x:c r="V214" s="15" t="n">
        <x:v>3575</x:v>
      </x:c>
      <x:c r="W214" s="15" t="n">
        <x:v>1064</x:v>
      </x:c>
      <x:c r="X214" s="15" t="n">
        <x:v>2978</x:v>
      </x:c>
      <x:c r="Y214" s="15" t="n">
        <x:v>1324</x:v>
      </x:c>
      <x:c r="Z214" s="15" t="n">
        <x:v>3224</x:v>
      </x:c>
      <x:c r="AA214" s="15" t="n">
        <x:v>1205</x:v>
      </x:c>
      <x:c r="AB214" s="15" t="n">
        <x:v>899</x:v>
      </x:c>
      <x:c r="AC214" s="15" t="n">
        <x:v>502</x:v>
      </x:c>
      <x:c r="AD214" s="15" t="n">
        <x:v>1379</x:v>
      </x:c>
      <x:c r="AE214" s="15" t="n">
        <x:v>821</x:v>
      </x:c>
      <x:c r="AF214" s="15" t="n">
        <x:v>6729</x:v>
      </x:c>
      <x:c r="AG214" s="15" t="n">
        <x:v>1707</x:v>
      </x:c>
      <x:c r="AH214" s="15" t="n">
        <x:v>674</x:v>
      </x:c>
      <x:c r="AI214" s="15" t="n">
        <x:v>545</x:v>
      </x:c>
    </x:row>
    <x:row r="215" ht="22" customHeight="1">
      <x:c r="A215" s="1" t="str">
        <x:v>310M700US30020</x:v>
      </x:c>
      <x:c r="B215" s="1" t="str">
        <x:v>30020</x:v>
      </x:c>
      <x:c r="C215" s="1" t="str">
        <x:v>Lawton, OK Metro Area</x:v>
      </x:c>
      <x:c r="D215" s="5" t="n">
        <x:v>2024</x:v>
      </x:c>
      <x:c r="E215" s="1" t="str">
        <x:v>ok</x:v>
      </x:c>
      <x:c r="F215" s="15" t="n">
        <x:v>19339</x:v>
      </x:c>
      <x:c r="G215" s="15" t="n">
        <x:v>1226</x:v>
      </x:c>
      <x:c r="H215" s="15" t="n">
        <x:v>18113</x:v>
      </x:c>
      <x:c r="I215" s="15" t="n">
        <x:v>7960</x:v>
      </x:c>
      <x:c r="J215" s="15" t="n">
        <x:v>4041</x:v>
      </x:c>
      <x:c r="K215" s="15" t="n">
        <x:v>43.946337</x:v>
      </x:c>
      <x:c r="L215" s="15" t="n">
        <x:v>22.309943</x:v>
      </x:c>
      <x:c r="M215" s="15" t="n">
        <x:v>6.339521</x:v>
      </x:c>
      <x:c r="N215" s="15" t="n">
        <x:v>19339</x:v>
      </x:c>
      <x:c r="O215" s="15" t="n">
        <x:v>1168</x:v>
      </x:c>
      <x:c r="P215" s="15" t="n">
        <x:v>659</x:v>
      </x:c>
      <x:c r="Q215" s="15" t="n">
        <x:v>271</x:v>
      </x:c>
      <x:c r="R215" s="15" t="n">
        <x:v>1840</x:v>
      </x:c>
      <x:c r="S215" s="15" t="n">
        <x:v>436</x:v>
      </x:c>
      <x:c r="T215" s="15" t="n">
        <x:v>2863</x:v>
      </x:c>
      <x:c r="U215" s="15" t="n">
        <x:v>608</x:v>
      </x:c>
      <x:c r="V215" s="15" t="n">
        <x:v>2665</x:v>
      </x:c>
      <x:c r="W215" s="15" t="n">
        <x:v>653</x:v>
      </x:c>
      <x:c r="X215" s="15" t="n">
        <x:v>2126</x:v>
      </x:c>
      <x:c r="Y215" s="15" t="n">
        <x:v>620</x:v>
      </x:c>
      <x:c r="Z215" s="15" t="n">
        <x:v>1455</x:v>
      </x:c>
      <x:c r="AA215" s="15" t="n">
        <x:v>405</x:v>
      </x:c>
      <x:c r="AB215" s="15" t="n">
        <x:v>1007</x:v>
      </x:c>
      <x:c r="AC215" s="15" t="n">
        <x:v>400</x:v>
      </x:c>
      <x:c r="AD215" s="15" t="n">
        <x:v>1457</x:v>
      </x:c>
      <x:c r="AE215" s="15" t="n">
        <x:v>503</x:v>
      </x:c>
      <x:c r="AF215" s="15" t="n">
        <x:v>4041</x:v>
      </x:c>
      <x:c r="AG215" s="15" t="n">
        <x:v>577</x:v>
      </x:c>
      <x:c r="AH215" s="15" t="n">
        <x:v>1226</x:v>
      </x:c>
      <x:c r="AI215" s="15" t="n">
        <x:v>377</x:v>
      </x:c>
    </x:row>
    <x:row r="216" ht="22" customHeight="1">
      <x:c r="A216" s="1" t="str">
        <x:v>310M700US30140</x:v>
      </x:c>
      <x:c r="B216" s="1" t="str">
        <x:v>30140</x:v>
      </x:c>
      <x:c r="C216" s="1" t="str">
        <x:v>Lebanon, PA Metro Area</x:v>
      </x:c>
      <x:c r="D216" s="5" t="n">
        <x:v>2024</x:v>
      </x:c>
      <x:c r="E216" s="1" t="str">
        <x:v>ok</x:v>
      </x:c>
      <x:c r="F216" s="15" t="n">
        <x:v>18177</x:v>
      </x:c>
      <x:c r="G216" s="15" t="n">
        <x:v>639</x:v>
      </x:c>
      <x:c r="H216" s="15" t="n">
        <x:v>17538</x:v>
      </x:c>
      <x:c r="I216" s="15" t="n">
        <x:v>9227</x:v>
      </x:c>
      <x:c r="J216" s="15" t="n">
        <x:v>3512</x:v>
      </x:c>
      <x:c r="K216" s="15" t="n">
        <x:v>52.611472</x:v>
      </x:c>
      <x:c r="L216" s="15" t="n">
        <x:v>20.025088</x:v>
      </x:c>
      <x:c r="M216" s="15" t="n">
        <x:v>3.515432</x:v>
      </x:c>
      <x:c r="N216" s="15" t="n">
        <x:v>18177</x:v>
      </x:c>
      <x:c r="O216" s="15" t="n">
        <x:v>1845</x:v>
      </x:c>
      <x:c r="P216" s="15" t="n">
        <x:v>328</x:v>
      </x:c>
      <x:c r="Q216" s="15" t="n">
        <x:v>241</x:v>
      </x:c>
      <x:c r="R216" s="15" t="n">
        <x:v>2329</x:v>
      </x:c>
      <x:c r="S216" s="15" t="n">
        <x:v>918</x:v>
      </x:c>
      <x:c r="T216" s="15" t="n">
        <x:v>2802</x:v>
      </x:c>
      <x:c r="U216" s="15" t="n">
        <x:v>1007</x:v>
      </x:c>
      <x:c r="V216" s="15" t="n">
        <x:v>1788</x:v>
      </x:c>
      <x:c r="W216" s="15" t="n">
        <x:v>937</x:v>
      </x:c>
      <x:c r="X216" s="15" t="n">
        <x:v>1064</x:v>
      </x:c>
      <x:c r="Y216" s="15" t="n">
        <x:v>496</x:v>
      </x:c>
      <x:c r="Z216" s="15" t="n">
        <x:v>2242</x:v>
      </x:c>
      <x:c r="AA216" s="15" t="n">
        <x:v>846</x:v>
      </x:c>
      <x:c r="AB216" s="15" t="n">
        <x:v>1128</x:v>
      </x:c>
      <x:c r="AC216" s="15" t="n">
        <x:v>693</x:v>
      </x:c>
      <x:c r="AD216" s="15" t="n">
        <x:v>2345</x:v>
      </x:c>
      <x:c r="AE216" s="15" t="n">
        <x:v>962</x:v>
      </x:c>
      <x:c r="AF216" s="15" t="n">
        <x:v>3512</x:v>
      </x:c>
      <x:c r="AG216" s="15" t="n">
        <x:v>1090</x:v>
      </x:c>
      <x:c r="AH216" s="15" t="n">
        <x:v>639</x:v>
      </x:c>
      <x:c r="AI216" s="15" t="n">
        <x:v>422</x:v>
      </x:c>
    </x:row>
    <x:row r="217" ht="22" customHeight="1">
      <x:c r="A217" s="1" t="str">
        <x:v>310M700US30300</x:v>
      </x:c>
      <x:c r="B217" s="1" t="str">
        <x:v>30300</x:v>
      </x:c>
      <x:c r="C217" s="1" t="str">
        <x:v>Lewiston, ID-WA Metro Area</x:v>
      </x:c>
      <x:c r="D217" s="5" t="n">
        <x:v>2024</x:v>
      </x:c>
      <x:c r="E217" s="1" t="str">
        <x:v>ok</x:v>
      </x:c>
      <x:c r="F217" s="15" t="n">
        <x:v>8033</x:v>
      </x:c>
      <x:c r="G217" s="15" t="n">
        <x:v>730</x:v>
      </x:c>
      <x:c r="H217" s="15" t="n">
        <x:v>7303</x:v>
      </x:c>
      <x:c r="I217" s="15" t="n">
        <x:v>2349</x:v>
      </x:c>
      <x:c r="J217" s="15" t="n">
        <x:v>1041</x:v>
      </x:c>
      <x:c r="K217" s="15" t="n">
        <x:v>32.164864</x:v>
      </x:c>
      <x:c r="L217" s="15" t="n">
        <x:v>14.254416</x:v>
      </x:c>
      <x:c r="M217" s="15" t="n">
        <x:v>9.087514</x:v>
      </x:c>
      <x:c r="N217" s="15" t="n">
        <x:v>8033</x:v>
      </x:c>
      <x:c r="O217" s="15" t="n">
        <x:v>1204</x:v>
      </x:c>
      <x:c r="P217" s="15" t="n">
        <x:v>313</x:v>
      </x:c>
      <x:c r="Q217" s="15" t="n">
        <x:v>299</x:v>
      </x:c>
      <x:c r="R217" s="15" t="n">
        <x:v>869</x:v>
      </x:c>
      <x:c r="S217" s="15" t="n">
        <x:v>440</x:v>
      </x:c>
      <x:c r="T217" s="15" t="n">
        <x:v>1366</x:v>
      </x:c>
      <x:c r="U217" s="15" t="n">
        <x:v>728</x:v>
      </x:c>
      <x:c r="V217" s="15" t="n">
        <x:v>1598</x:v>
      </x:c>
      <x:c r="W217" s="15" t="n">
        <x:v>608</x:v>
      </x:c>
      <x:c r="X217" s="15" t="n">
        <x:v>808</x:v>
      </x:c>
      <x:c r="Y217" s="15" t="n">
        <x:v>523</x:v>
      </x:c>
      <x:c r="Z217" s="15" t="n">
        <x:v>362</x:v>
      </x:c>
      <x:c r="AA217" s="15" t="n">
        <x:v>369</x:v>
      </x:c>
      <x:c r="AB217" s="15" t="n">
        <x:v>444</x:v>
      </x:c>
      <x:c r="AC217" s="15" t="n">
        <x:v>318</x:v>
      </x:c>
      <x:c r="AD217" s="15" t="n">
        <x:v>502</x:v>
      </x:c>
      <x:c r="AE217" s="15" t="n">
        <x:v>337</x:v>
      </x:c>
      <x:c r="AF217" s="15" t="n">
        <x:v>1041</x:v>
      </x:c>
      <x:c r="AG217" s="15" t="n">
        <x:v>571</x:v>
      </x:c>
      <x:c r="AH217" s="15" t="n">
        <x:v>730</x:v>
      </x:c>
      <x:c r="AI217" s="15" t="n">
        <x:v>356</x:v>
      </x:c>
    </x:row>
    <x:row r="218" ht="22" customHeight="1">
      <x:c r="A218" s="1" t="str">
        <x:v>310M700US30340</x:v>
      </x:c>
      <x:c r="B218" s="1" t="str">
        <x:v>30340</x:v>
      </x:c>
      <x:c r="C218" s="1" t="str">
        <x:v>Lewiston-Auburn, ME Metro Area</x:v>
      </x:c>
      <x:c r="D218" s="5" t="n">
        <x:v>2024</x:v>
      </x:c>
      <x:c r="E218" s="1" t="str">
        <x:v>ok</x:v>
      </x:c>
      <x:c r="F218" s="15" t="n">
        <x:v>15713</x:v>
      </x:c>
      <x:c r="G218" s="15" t="n">
        <x:v>1061</x:v>
      </x:c>
      <x:c r="H218" s="15" t="n">
        <x:v>14652</x:v>
      </x:c>
      <x:c r="I218" s="15" t="n">
        <x:v>7714</x:v>
      </x:c>
      <x:c r="J218" s="15" t="n">
        <x:v>3895</x:v>
      </x:c>
      <x:c r="K218" s="15" t="n">
        <x:v>52.648103</x:v>
      </x:c>
      <x:c r="L218" s="15" t="n">
        <x:v>26.583402</x:v>
      </x:c>
      <x:c r="M218" s="15" t="n">
        <x:v>6.752371</x:v>
      </x:c>
      <x:c r="N218" s="15" t="n">
        <x:v>15713</x:v>
      </x:c>
      <x:c r="O218" s="15" t="n">
        <x:v>1423</x:v>
      </x:c>
      <x:c r="P218" s="15" t="n">
        <x:v>143</x:v>
      </x:c>
      <x:c r="Q218" s="15" t="n">
        <x:v>162</x:v>
      </x:c>
      <x:c r="R218" s="15" t="n">
        <x:v>1073</x:v>
      </x:c>
      <x:c r="S218" s="15" t="n">
        <x:v>617</x:v>
      </x:c>
      <x:c r="T218" s="15" t="n">
        <x:v>1687</x:v>
      </x:c>
      <x:c r="U218" s="15" t="n">
        <x:v>738</x:v>
      </x:c>
      <x:c r="V218" s="15" t="n">
        <x:v>1715</x:v>
      </x:c>
      <x:c r="W218" s="15" t="n">
        <x:v>872</x:v>
      </x:c>
      <x:c r="X218" s="15" t="n">
        <x:v>2320</x:v>
      </x:c>
      <x:c r="Y218" s="15" t="n">
        <x:v>899</x:v>
      </x:c>
      <x:c r="Z218" s="15" t="n">
        <x:v>1965</x:v>
      </x:c>
      <x:c r="AA218" s="15" t="n">
        <x:v>896</x:v>
      </x:c>
      <x:c r="AB218" s="15" t="n">
        <x:v>844</x:v>
      </x:c>
      <x:c r="AC218" s="15" t="n">
        <x:v>479</x:v>
      </x:c>
      <x:c r="AD218" s="15" t="n">
        <x:v>1010</x:v>
      </x:c>
      <x:c r="AE218" s="15" t="n">
        <x:v>723</x:v>
      </x:c>
      <x:c r="AF218" s="15" t="n">
        <x:v>3895</x:v>
      </x:c>
      <x:c r="AG218" s="15" t="n">
        <x:v>1215</x:v>
      </x:c>
      <x:c r="AH218" s="15" t="n">
        <x:v>1061</x:v>
      </x:c>
      <x:c r="AI218" s="15" t="n">
        <x:v>564</x:v>
      </x:c>
    </x:row>
    <x:row r="219" ht="22" customHeight="1">
      <x:c r="A219" s="1" t="str">
        <x:v>310M700US30500</x:v>
      </x:c>
      <x:c r="B219" s="1" t="str">
        <x:v>30500</x:v>
      </x:c>
      <x:c r="C219" s="1" t="str">
        <x:v>Lexington Park, MD Metro Area</x:v>
      </x:c>
      <x:c r="D219" s="5" t="n">
        <x:v>2024</x:v>
      </x:c>
      <x:c r="E219" s="1" t="str">
        <x:v>ok</x:v>
      </x:c>
      <x:c r="F219" s="15" t="n">
        <x:v>14695</x:v>
      </x:c>
      <x:c r="G219" s="15" t="n">
        <x:v>1427</x:v>
      </x:c>
      <x:c r="H219" s="15" t="n">
        <x:v>13268</x:v>
      </x:c>
      <x:c r="I219" s="15" t="n">
        <x:v>5363</x:v>
      </x:c>
      <x:c r="J219" s="15" t="n">
        <x:v>2831</x:v>
      </x:c>
      <x:c r="K219" s="15" t="n">
        <x:v>40.420561</x:v>
      </x:c>
      <x:c r="L219" s="15" t="n">
        <x:v>21.337052</x:v>
      </x:c>
      <x:c r="M219" s="15" t="n">
        <x:v>9.710786</x:v>
      </x:c>
      <x:c r="N219" s="15" t="n">
        <x:v>14695</x:v>
      </x:c>
      <x:c r="O219" s="15" t="n">
        <x:v>2214</x:v>
      </x:c>
      <x:c r="P219" s="15" t="n">
        <x:v>213</x:v>
      </x:c>
      <x:c r="Q219" s="15" t="n">
        <x:v>280</x:v>
      </x:c>
      <x:c r="R219" s="15" t="n">
        <x:v>1539</x:v>
      </x:c>
      <x:c r="S219" s="15" t="n">
        <x:v>890</x:v>
      </x:c>
      <x:c r="T219" s="15" t="n">
        <x:v>2703</x:v>
      </x:c>
      <x:c r="U219" s="15" t="n">
        <x:v>1229</x:v>
      </x:c>
      <x:c r="V219" s="15" t="n">
        <x:v>1681</x:v>
      </x:c>
      <x:c r="W219" s="15" t="n">
        <x:v>674</x:v>
      </x:c>
      <x:c r="X219" s="15" t="n">
        <x:v>1769</x:v>
      </x:c>
      <x:c r="Y219" s="15" t="n">
        <x:v>851</x:v>
      </x:c>
      <x:c r="Z219" s="15" t="n">
        <x:v>1108</x:v>
      </x:c>
      <x:c r="AA219" s="15" t="n">
        <x:v>466</x:v>
      </x:c>
      <x:c r="AB219" s="15" t="n">
        <x:v>473</x:v>
      </x:c>
      <x:c r="AC219" s="15" t="n">
        <x:v>378</x:v>
      </x:c>
      <x:c r="AD219" s="15" t="n">
        <x:v>951</x:v>
      </x:c>
      <x:c r="AE219" s="15" t="n">
        <x:v>620</x:v>
      </x:c>
      <x:c r="AF219" s="15" t="n">
        <x:v>2831</x:v>
      </x:c>
      <x:c r="AG219" s="15" t="n">
        <x:v>1022</x:v>
      </x:c>
      <x:c r="AH219" s="15" t="n">
        <x:v>1427</x:v>
      </x:c>
      <x:c r="AI219" s="15" t="n">
        <x:v>702</x:v>
      </x:c>
    </x:row>
    <x:row r="220" ht="22" customHeight="1">
      <x:c r="A220" s="1" t="str">
        <x:v>310M700US30460</x:v>
      </x:c>
      <x:c r="B220" s="1" t="str">
        <x:v>30460</x:v>
      </x:c>
      <x:c r="C220" s="1" t="str">
        <x:v>Lexington-Fayette, KY Metro Area</x:v>
      </x:c>
      <x:c r="D220" s="5" t="n">
        <x:v>2024</x:v>
      </x:c>
      <x:c r="E220" s="1" t="str">
        <x:v>ok</x:v>
      </x:c>
      <x:c r="F220" s="15" t="n">
        <x:v>93704</x:v>
      </x:c>
      <x:c r="G220" s="15" t="n">
        <x:v>5024</x:v>
      </x:c>
      <x:c r="H220" s="15" t="n">
        <x:v>88680</x:v>
      </x:c>
      <x:c r="I220" s="15" t="n">
        <x:v>41832</x:v>
      </x:c>
      <x:c r="J220" s="15" t="n">
        <x:v>22675</x:v>
      </x:c>
      <x:c r="K220" s="15" t="n">
        <x:v>47.171854</x:v>
      </x:c>
      <x:c r="L220" s="15" t="n">
        <x:v>25.569463</x:v>
      </x:c>
      <x:c r="M220" s="15" t="n">
        <x:v>5.361564</x:v>
      </x:c>
      <x:c r="N220" s="15" t="n">
        <x:v>93704</x:v>
      </x:c>
      <x:c r="O220" s="15" t="n">
        <x:v>4237</x:v>
      </x:c>
      <x:c r="P220" s="15" t="n">
        <x:v>1972</x:v>
      </x:c>
      <x:c r="Q220" s="15" t="n">
        <x:v>837</x:v>
      </x:c>
      <x:c r="R220" s="15" t="n">
        <x:v>7642</x:v>
      </x:c>
      <x:c r="S220" s="15" t="n">
        <x:v>1498</x:v>
      </x:c>
      <x:c r="T220" s="15" t="n">
        <x:v>12651</x:v>
      </x:c>
      <x:c r="U220" s="15" t="n">
        <x:v>2208</x:v>
      </x:c>
      <x:c r="V220" s="15" t="n">
        <x:v>13325</x:v>
      </x:c>
      <x:c r="W220" s="15" t="n">
        <x:v>2114</x:v>
      </x:c>
      <x:c r="X220" s="15" t="n">
        <x:v>11258</x:v>
      </x:c>
      <x:c r="Y220" s="15" t="n">
        <x:v>1634</x:v>
      </x:c>
      <x:c r="Z220" s="15" t="n">
        <x:v>8023</x:v>
      </x:c>
      <x:c r="AA220" s="15" t="n">
        <x:v>1731</x:v>
      </x:c>
      <x:c r="AB220" s="15" t="n">
        <x:v>4104</x:v>
      </x:c>
      <x:c r="AC220" s="15" t="n">
        <x:v>1450</x:v>
      </x:c>
      <x:c r="AD220" s="15" t="n">
        <x:v>7030</x:v>
      </x:c>
      <x:c r="AE220" s="15" t="n">
        <x:v>1662</x:v>
      </x:c>
      <x:c r="AF220" s="15" t="n">
        <x:v>22675</x:v>
      </x:c>
      <x:c r="AG220" s="15" t="n">
        <x:v>3002</x:v>
      </x:c>
      <x:c r="AH220" s="15" t="n">
        <x:v>5024</x:v>
      </x:c>
      <x:c r="AI220" s="15" t="n">
        <x:v>1120</x:v>
      </x:c>
    </x:row>
    <x:row r="221" ht="22" customHeight="1">
      <x:c r="A221" s="1" t="str">
        <x:v>310M700US30620</x:v>
      </x:c>
      <x:c r="B221" s="1" t="str">
        <x:v>30620</x:v>
      </x:c>
      <x:c r="C221" s="1" t="str">
        <x:v>Lima, OH Metro Area</x:v>
      </x:c>
      <x:c r="D221" s="5" t="n">
        <x:v>2024</x:v>
      </x:c>
      <x:c r="E221" s="1" t="str">
        <x:v>ok</x:v>
      </x:c>
      <x:c r="F221" s="15" t="n">
        <x:v>13382</x:v>
      </x:c>
      <x:c r="G221" s="15" t="n">
        <x:v>476</x:v>
      </x:c>
      <x:c r="H221" s="15" t="n">
        <x:v>12906</x:v>
      </x:c>
      <x:c r="I221" s="15" t="n">
        <x:v>6082</x:v>
      </x:c>
      <x:c r="J221" s="15" t="n">
        <x:v>3722</x:v>
      </x:c>
      <x:c r="K221" s="15" t="n">
        <x:v>47.125368</x:v>
      </x:c>
      <x:c r="L221" s="15" t="n">
        <x:v>28.8393</x:v>
      </x:c>
      <x:c r="M221" s="15" t="n">
        <x:v>3.557017</x:v>
      </x:c>
      <x:c r="N221" s="15" t="n">
        <x:v>13382</x:v>
      </x:c>
      <x:c r="O221" s="15" t="n">
        <x:v>1568</x:v>
      </x:c>
      <x:c r="P221" s="15" t="n">
        <x:v>425</x:v>
      </x:c>
      <x:c r="Q221" s="15" t="n">
        <x:v>394</x:v>
      </x:c>
      <x:c r="R221" s="15" t="n">
        <x:v>1478</x:v>
      </x:c>
      <x:c r="S221" s="15" t="n">
        <x:v>685</x:v>
      </x:c>
      <x:c r="T221" s="15" t="n">
        <x:v>2093</x:v>
      </x:c>
      <x:c r="U221" s="15" t="n">
        <x:v>809</x:v>
      </x:c>
      <x:c r="V221" s="15" t="n">
        <x:v>1998</x:v>
      </x:c>
      <x:c r="W221" s="15" t="n">
        <x:v>948</x:v>
      </x:c>
      <x:c r="X221" s="15" t="n">
        <x:v>830</x:v>
      </x:c>
      <x:c r="Y221" s="15" t="n">
        <x:v>420</x:v>
      </x:c>
      <x:c r="Z221" s="15" t="n">
        <x:v>897</x:v>
      </x:c>
      <x:c r="AA221" s="15" t="n">
        <x:v>470</x:v>
      </x:c>
      <x:c r="AB221" s="15" t="n">
        <x:v>572</x:v>
      </x:c>
      <x:c r="AC221" s="15" t="n">
        <x:v>508</x:v>
      </x:c>
      <x:c r="AD221" s="15" t="n">
        <x:v>891</x:v>
      </x:c>
      <x:c r="AE221" s="15" t="n">
        <x:v>566</x:v>
      </x:c>
      <x:c r="AF221" s="15" t="n">
        <x:v>3722</x:v>
      </x:c>
      <x:c r="AG221" s="15" t="n">
        <x:v>994</x:v>
      </x:c>
      <x:c r="AH221" s="15" t="n">
        <x:v>476</x:v>
      </x:c>
      <x:c r="AI221" s="15" t="n">
        <x:v>275</x:v>
      </x:c>
    </x:row>
    <x:row r="222" ht="22" customHeight="1">
      <x:c r="A222" s="1" t="str">
        <x:v>310M700US30700</x:v>
      </x:c>
      <x:c r="B222" s="1" t="str">
        <x:v>30700</x:v>
      </x:c>
      <x:c r="C222" s="1" t="str">
        <x:v>Lincoln, NE Metro Area</x:v>
      </x:c>
      <x:c r="D222" s="5" t="n">
        <x:v>2024</x:v>
      </x:c>
      <x:c r="E222" s="1" t="str">
        <x:v>ok</x:v>
      </x:c>
      <x:c r="F222" s="15" t="n">
        <x:v>57547</x:v>
      </x:c>
      <x:c r="G222" s="15" t="n">
        <x:v>2585</x:v>
      </x:c>
      <x:c r="H222" s="15" t="n">
        <x:v>54962</x:v>
      </x:c>
      <x:c r="I222" s="15" t="n">
        <x:v>27247</x:v>
      </x:c>
      <x:c r="J222" s="15" t="n">
        <x:v>12140</x:v>
      </x:c>
      <x:c r="K222" s="15" t="n">
        <x:v>49.574251</x:v>
      </x:c>
      <x:c r="L222" s="15" t="n">
        <x:v>22.087988</x:v>
      </x:c>
      <x:c r="M222" s="15" t="n">
        <x:v>4.49198</x:v>
      </x:c>
      <x:c r="N222" s="15" t="n">
        <x:v>57547</x:v>
      </x:c>
      <x:c r="O222" s="15" t="n">
        <x:v>2677</x:v>
      </x:c>
      <x:c r="P222" s="15" t="n">
        <x:v>1237</x:v>
      </x:c>
      <x:c r="Q222" s="15" t="n">
        <x:v>434</x:v>
      </x:c>
      <x:c r="R222" s="15" t="n">
        <x:v>4914</x:v>
      </x:c>
      <x:c r="S222" s="15" t="n">
        <x:v>1022</x:v>
      </x:c>
      <x:c r="T222" s="15" t="n">
        <x:v>8151</x:v>
      </x:c>
      <x:c r="U222" s="15" t="n">
        <x:v>1734</x:v>
      </x:c>
      <x:c r="V222" s="15" t="n">
        <x:v>6387</x:v>
      </x:c>
      <x:c r="W222" s="15" t="n">
        <x:v>1706</x:v>
      </x:c>
      <x:c r="X222" s="15" t="n">
        <x:v>7026</x:v>
      </x:c>
      <x:c r="Y222" s="15" t="n">
        <x:v>1575</x:v>
      </x:c>
      <x:c r="Z222" s="15" t="n">
        <x:v>5161</x:v>
      </x:c>
      <x:c r="AA222" s="15" t="n">
        <x:v>1325</x:v>
      </x:c>
      <x:c r="AB222" s="15" t="n">
        <x:v>4689</x:v>
      </x:c>
      <x:c r="AC222" s="15" t="n">
        <x:v>1446</x:v>
      </x:c>
      <x:c r="AD222" s="15" t="n">
        <x:v>5257</x:v>
      </x:c>
      <x:c r="AE222" s="15" t="n">
        <x:v>1211</x:v>
      </x:c>
      <x:c r="AF222" s="15" t="n">
        <x:v>12140</x:v>
      </x:c>
      <x:c r="AG222" s="15" t="n">
        <x:v>1930</x:v>
      </x:c>
      <x:c r="AH222" s="15" t="n">
        <x:v>2585</x:v>
      </x:c>
      <x:c r="AI222" s="15" t="n">
        <x:v>912</x:v>
      </x:c>
    </x:row>
    <x:row r="223" ht="22" customHeight="1">
      <x:c r="A223" s="1" t="str">
        <x:v>310M700US30780</x:v>
      </x:c>
      <x:c r="B223" s="1" t="str">
        <x:v>30780</x:v>
      </x:c>
      <x:c r="C223" s="1" t="str">
        <x:v>Little Rock-North Little Rock-Conway, AR Metro Area</x:v>
      </x:c>
      <x:c r="D223" s="5" t="n">
        <x:v>2024</x:v>
      </x:c>
      <x:c r="E223" s="1" t="str">
        <x:v>ok</x:v>
      </x:c>
      <x:c r="F223" s="15" t="n">
        <x:v>115911</x:v>
      </x:c>
      <x:c r="G223" s="15" t="n">
        <x:v>9376</x:v>
      </x:c>
      <x:c r="H223" s="15" t="n">
        <x:v>106535</x:v>
      </x:c>
      <x:c r="I223" s="15" t="n">
        <x:v>49220</x:v>
      </x:c>
      <x:c r="J223" s="15" t="n">
        <x:v>21585</x:v>
      </x:c>
      <x:c r="K223" s="15" t="n">
        <x:v>46.200779</x:v>
      </x:c>
      <x:c r="L223" s="15" t="n">
        <x:v>20.260947</x:v>
      </x:c>
      <x:c r="M223" s="15" t="n">
        <x:v>8.088965</x:v>
      </x:c>
      <x:c r="N223" s="15" t="n">
        <x:v>115911</x:v>
      </x:c>
      <x:c r="O223" s="15" t="n">
        <x:v>5518</x:v>
      </x:c>
      <x:c r="P223" s="15" t="n">
        <x:v>4688</x:v>
      </x:c>
      <x:c r="Q223" s="15" t="n">
        <x:v>1507</x:v>
      </x:c>
      <x:c r="R223" s="15" t="n">
        <x:v>13775</x:v>
      </x:c>
      <x:c r="S223" s="15" t="n">
        <x:v>2507</x:v>
      </x:c>
      <x:c r="T223" s="15" t="n">
        <x:v>15394</x:v>
      </x:c>
      <x:c r="U223" s="15" t="n">
        <x:v>2970</x:v>
      </x:c>
      <x:c r="V223" s="15" t="n">
        <x:v>11826</x:v>
      </x:c>
      <x:c r="W223" s="15" t="n">
        <x:v>2376</x:v>
      </x:c>
      <x:c r="X223" s="15" t="n">
        <x:v>11632</x:v>
      </x:c>
      <x:c r="Y223" s="15" t="n">
        <x:v>2474</x:v>
      </x:c>
      <x:c r="Z223" s="15" t="n">
        <x:v>7984</x:v>
      </x:c>
      <x:c r="AA223" s="15" t="n">
        <x:v>1899</x:v>
      </x:c>
      <x:c r="AB223" s="15" t="n">
        <x:v>9144</x:v>
      </x:c>
      <x:c r="AC223" s="15" t="n">
        <x:v>2499</x:v>
      </x:c>
      <x:c r="AD223" s="15" t="n">
        <x:v>10507</x:v>
      </x:c>
      <x:c r="AE223" s="15" t="n">
        <x:v>2143</x:v>
      </x:c>
      <x:c r="AF223" s="15" t="n">
        <x:v>21585</x:v>
      </x:c>
      <x:c r="AG223" s="15" t="n">
        <x:v>3654</x:v>
      </x:c>
      <x:c r="AH223" s="15" t="n">
        <x:v>9376</x:v>
      </x:c>
      <x:c r="AI223" s="15" t="n">
        <x:v>2228</x:v>
      </x:c>
    </x:row>
    <x:row r="224" ht="22" customHeight="1">
      <x:c r="A224" s="1" t="str">
        <x:v>310M700US30860</x:v>
      </x:c>
      <x:c r="B224" s="1" t="str">
        <x:v>30860</x:v>
      </x:c>
      <x:c r="C224" s="1" t="str">
        <x:v>Logan, UT-ID Metro Area</x:v>
      </x:c>
      <x:c r="D224" s="5" t="n">
        <x:v>2024</x:v>
      </x:c>
      <x:c r="E224" s="1" t="str">
        <x:v>ok</x:v>
      </x:c>
      <x:c r="F224" s="15" t="n">
        <x:v>17255</x:v>
      </x:c>
      <x:c r="G224" s="15" t="n">
        <x:v>489</x:v>
      </x:c>
      <x:c r="H224" s="15" t="n">
        <x:v>16766</x:v>
      </x:c>
      <x:c r="I224" s="15" t="n">
        <x:v>8486</x:v>
      </x:c>
      <x:c r="J224" s="15" t="n">
        <x:v>3556</x:v>
      </x:c>
      <x:c r="K224" s="15" t="n">
        <x:v>50.614339</x:v>
      </x:c>
      <x:c r="L224" s="15" t="n">
        <x:v>21.209591</x:v>
      </x:c>
      <x:c r="M224" s="15" t="n">
        <x:v>2.833961</x:v>
      </x:c>
      <x:c r="N224" s="15" t="n">
        <x:v>17255</x:v>
      </x:c>
      <x:c r="O224" s="15" t="n">
        <x:v>1583</x:v>
      </x:c>
      <x:c r="P224" s="15" t="n">
        <x:v>506</x:v>
      </x:c>
      <x:c r="Q224" s="15" t="n">
        <x:v>248</x:v>
      </x:c>
      <x:c r="R224" s="15" t="n">
        <x:v>1801</x:v>
      </x:c>
      <x:c r="S224" s="15" t="n">
        <x:v>648</x:v>
      </x:c>
      <x:c r="T224" s="15" t="n">
        <x:v>1247</x:v>
      </x:c>
      <x:c r="U224" s="15" t="n">
        <x:v>567</x:v>
      </x:c>
      <x:c r="V224" s="15" t="n">
        <x:v>2548</x:v>
      </x:c>
      <x:c r="W224" s="15" t="n">
        <x:v>965</x:v>
      </x:c>
      <x:c r="X224" s="15" t="n">
        <x:v>2178</x:v>
      </x:c>
      <x:c r="Y224" s="15" t="n">
        <x:v>821</x:v>
      </x:c>
      <x:c r="Z224" s="15" t="n">
        <x:v>2535</x:v>
      </x:c>
      <x:c r="AA224" s="15" t="n">
        <x:v>1019</x:v>
      </x:c>
      <x:c r="AB224" s="15" t="n">
        <x:v>784</x:v>
      </x:c>
      <x:c r="AC224" s="15" t="n">
        <x:v>440</x:v>
      </x:c>
      <x:c r="AD224" s="15" t="n">
        <x:v>1611</x:v>
      </x:c>
      <x:c r="AE224" s="15" t="n">
        <x:v>704</x:v>
      </x:c>
      <x:c r="AF224" s="15" t="n">
        <x:v>3556</x:v>
      </x:c>
      <x:c r="AG224" s="15" t="n">
        <x:v>959</x:v>
      </x:c>
      <x:c r="AH224" s="15" t="n">
        <x:v>489</x:v>
      </x:c>
      <x:c r="AI224" s="15" t="n">
        <x:v>310</x:v>
      </x:c>
    </x:row>
    <x:row r="225" ht="22" customHeight="1">
      <x:c r="A225" s="1" t="str">
        <x:v>310M700US30980</x:v>
      </x:c>
      <x:c r="B225" s="1" t="str">
        <x:v>30980</x:v>
      </x:c>
      <x:c r="C225" s="1" t="str">
        <x:v>Longview, TX Metro Area</x:v>
      </x:c>
      <x:c r="D225" s="5" t="n">
        <x:v>2024</x:v>
      </x:c>
      <x:c r="E225" s="1" t="str">
        <x:v>ok</x:v>
      </x:c>
      <x:c r="F225" s="15" t="n">
        <x:v>32135</x:v>
      </x:c>
      <x:c r="G225" s="15" t="n">
        <x:v>3677</x:v>
      </x:c>
      <x:c r="H225" s="15" t="n">
        <x:v>28458</x:v>
      </x:c>
      <x:c r="I225" s="15" t="n">
        <x:v>14402</x:v>
      </x:c>
      <x:c r="J225" s="15" t="n">
        <x:v>6593</x:v>
      </x:c>
      <x:c r="K225" s="15" t="n">
        <x:v>50.607913</x:v>
      </x:c>
      <x:c r="L225" s="15" t="n">
        <x:v>23.167475</x:v>
      </x:c>
      <x:c r="M225" s="15" t="n">
        <x:v>11.442353</x:v>
      </x:c>
      <x:c r="N225" s="15" t="n">
        <x:v>32135</x:v>
      </x:c>
      <x:c r="O225" s="15" t="n">
        <x:v>2565</x:v>
      </x:c>
      <x:c r="P225" s="15" t="n">
        <x:v>1327</x:v>
      </x:c>
      <x:c r="Q225" s="15" t="n">
        <x:v>576</x:v>
      </x:c>
      <x:c r="R225" s="15" t="n">
        <x:v>2335</x:v>
      </x:c>
      <x:c r="S225" s="15" t="n">
        <x:v>1248</x:v>
      </x:c>
      <x:c r="T225" s="15" t="n">
        <x:v>4032</x:v>
      </x:c>
      <x:c r="U225" s="15" t="n">
        <x:v>1112</x:v>
      </x:c>
      <x:c r="V225" s="15" t="n">
        <x:v>3373</x:v>
      </x:c>
      <x:c r="W225" s="15" t="n">
        <x:v>1190</x:v>
      </x:c>
      <x:c r="X225" s="15" t="n">
        <x:v>2989</x:v>
      </x:c>
      <x:c r="Y225" s="15" t="n">
        <x:v>1176</x:v>
      </x:c>
      <x:c r="Z225" s="15" t="n">
        <x:v>2859</x:v>
      </x:c>
      <x:c r="AA225" s="15" t="n">
        <x:v>1065</x:v>
      </x:c>
      <x:c r="AB225" s="15" t="n">
        <x:v>1726</x:v>
      </x:c>
      <x:c r="AC225" s="15" t="n">
        <x:v>774</x:v>
      </x:c>
      <x:c r="AD225" s="15" t="n">
        <x:v>3224</x:v>
      </x:c>
      <x:c r="AE225" s="15" t="n">
        <x:v>1062</x:v>
      </x:c>
      <x:c r="AF225" s="15" t="n">
        <x:v>6593</x:v>
      </x:c>
      <x:c r="AG225" s="15" t="n">
        <x:v>1712</x:v>
      </x:c>
      <x:c r="AH225" s="15" t="n">
        <x:v>3677</x:v>
      </x:c>
      <x:c r="AI225" s="15" t="n">
        <x:v>1115</x:v>
      </x:c>
    </x:row>
    <x:row r="226" ht="22" customHeight="1">
      <x:c r="A226" s="1" t="str">
        <x:v>310M700US31020</x:v>
      </x:c>
      <x:c r="B226" s="1" t="str">
        <x:v>31020</x:v>
      </x:c>
      <x:c r="C226" s="1" t="str">
        <x:v>Longview-Kelso, WA Metro Area</x:v>
      </x:c>
      <x:c r="D226" s="5" t="n">
        <x:v>2024</x:v>
      </x:c>
      <x:c r="E226" s="1" t="str">
        <x:v>ok</x:v>
      </x:c>
      <x:c r="F226" s="15" t="n">
        <x:v>12200</x:v>
      </x:c>
      <x:c r="G226" s="15" t="n">
        <x:v>760</x:v>
      </x:c>
      <x:c r="H226" s="15" t="n">
        <x:v>11440</x:v>
      </x:c>
      <x:c r="I226" s="15" t="n">
        <x:v>5905</x:v>
      </x:c>
      <x:c r="J226" s="15" t="n">
        <x:v>3281</x:v>
      </x:c>
      <x:c r="K226" s="15" t="n">
        <x:v>51.617133</x:v>
      </x:c>
      <x:c r="L226" s="15" t="n">
        <x:v>28.68007</x:v>
      </x:c>
      <x:c r="M226" s="15" t="n">
        <x:v>6.229508</x:v>
      </x:c>
      <x:c r="N226" s="15" t="n">
        <x:v>12200</x:v>
      </x:c>
      <x:c r="O226" s="15" t="n">
        <x:v>1679</x:v>
      </x:c>
      <x:c r="P226" s="15" t="n">
        <x:v>113</x:v>
      </x:c>
      <x:c r="Q226" s="15" t="n">
        <x:v>135</x:v>
      </x:c>
      <x:c r="R226" s="15" t="n">
        <x:v>850</x:v>
      </x:c>
      <x:c r="S226" s="15" t="n">
        <x:v>616</x:v>
      </x:c>
      <x:c r="T226" s="15" t="n">
        <x:v>1542</x:v>
      </x:c>
      <x:c r="U226" s="15" t="n">
        <x:v>686</x:v>
      </x:c>
      <x:c r="V226" s="15" t="n">
        <x:v>2020</x:v>
      </x:c>
      <x:c r="W226" s="15" t="n">
        <x:v>908</x:v>
      </x:c>
      <x:c r="X226" s="15" t="n">
        <x:v>1010</x:v>
      </x:c>
      <x:c r="Y226" s="15" t="n">
        <x:v>506</x:v>
      </x:c>
      <x:c r="Z226" s="15" t="n">
        <x:v>607</x:v>
      </x:c>
      <x:c r="AA226" s="15" t="n">
        <x:v>400</x:v>
      </x:c>
      <x:c r="AB226" s="15" t="n">
        <x:v>879</x:v>
      </x:c>
      <x:c r="AC226" s="15" t="n">
        <x:v>530</x:v>
      </x:c>
      <x:c r="AD226" s="15" t="n">
        <x:v>1138</x:v>
      </x:c>
      <x:c r="AE226" s="15" t="n">
        <x:v>611</x:v>
      </x:c>
      <x:c r="AF226" s="15" t="n">
        <x:v>3281</x:v>
      </x:c>
      <x:c r="AG226" s="15" t="n">
        <x:v>873</x:v>
      </x:c>
      <x:c r="AH226" s="15" t="n">
        <x:v>760</x:v>
      </x:c>
      <x:c r="AI226" s="15" t="n">
        <x:v>545</x:v>
      </x:c>
    </x:row>
    <x:row r="227" ht="22" customHeight="1">
      <x:c r="A227" s="1" t="str">
        <x:v>310M700US31080</x:v>
      </x:c>
      <x:c r="B227" s="1" t="str">
        <x:v>31080</x:v>
      </x:c>
      <x:c r="C227" s="1" t="str">
        <x:v>Los Angeles-Long Beach-Anaheim, CA Metro Area</x:v>
      </x:c>
      <x:c r="D227" s="5" t="n">
        <x:v>2024</x:v>
      </x:c>
      <x:c r="E227" s="1" t="str">
        <x:v>ok</x:v>
      </x:c>
      <x:c r="F227" s="15" t="n">
        <x:v>2373302</x:v>
      </x:c>
      <x:c r="G227" s="15" t="n">
        <x:v>108540</x:v>
      </x:c>
      <x:c r="H227" s="15" t="n">
        <x:v>2264762</x:v>
      </x:c>
      <x:c r="I227" s="15" t="n">
        <x:v>1297179</x:v>
      </x:c>
      <x:c r="J227" s="15" t="n">
        <x:v>677937</x:v>
      </x:c>
      <x:c r="K227" s="15" t="n">
        <x:v>57.276614</x:v>
      </x:c>
      <x:c r="L227" s="15" t="n">
        <x:v>29.934139</x:v>
      </x:c>
      <x:c r="M227" s="15" t="n">
        <x:v>4.573375</x:v>
      </x:c>
      <x:c r="N227" s="15" t="n">
        <x:v>2373302</x:v>
      </x:c>
      <x:c r="O227" s="15" t="n">
        <x:v>19306</x:v>
      </x:c>
      <x:c r="P227" s="15" t="n">
        <x:v>58264</x:v>
      </x:c>
      <x:c r="Q227" s="15" t="n">
        <x:v>4575</x:v>
      </x:c>
      <x:c r="R227" s="15" t="n">
        <x:v>150827</x:v>
      </x:c>
      <x:c r="S227" s="15" t="n">
        <x:v>7465</x:v>
      </x:c>
      <x:c r="T227" s="15" t="n">
        <x:v>243967</x:v>
      </x:c>
      <x:c r="U227" s="15" t="n">
        <x:v>9545</x:v>
      </x:c>
      <x:c r="V227" s="15" t="n">
        <x:v>263438</x:v>
      </x:c>
      <x:c r="W227" s="15" t="n">
        <x:v>10217</x:v>
      </x:c>
      <x:c r="X227" s="15" t="n">
        <x:v>251087</x:v>
      </x:c>
      <x:c r="Y227" s="15" t="n">
        <x:v>10336</x:v>
      </x:c>
      <x:c r="Z227" s="15" t="n">
        <x:v>211846</x:v>
      </x:c>
      <x:c r="AA227" s="15" t="n">
        <x:v>9264</x:v>
      </x:c>
      <x:c r="AB227" s="15" t="n">
        <x:v>168546</x:v>
      </x:c>
      <x:c r="AC227" s="15" t="n">
        <x:v>7322</x:v>
      </x:c>
      <x:c r="AD227" s="15" t="n">
        <x:v>238850</x:v>
      </x:c>
      <x:c r="AE227" s="15" t="n">
        <x:v>9677</x:v>
      </x:c>
      <x:c r="AF227" s="15" t="n">
        <x:v>677937</x:v>
      </x:c>
      <x:c r="AG227" s="15" t="n">
        <x:v>16256</x:v>
      </x:c>
      <x:c r="AH227" s="15" t="n">
        <x:v>108540</x:v>
      </x:c>
      <x:c r="AI227" s="15" t="n">
        <x:v>6842</x:v>
      </x:c>
    </x:row>
    <x:row r="228" ht="22" customHeight="1">
      <x:c r="A228" s="1" t="str">
        <x:v>310M700US31140</x:v>
      </x:c>
      <x:c r="B228" s="1" t="str">
        <x:v>31140</x:v>
      </x:c>
      <x:c r="C228" s="1" t="str">
        <x:v>Louisville/Jefferson County, KY-IN Metro Area</x:v>
      </x:c>
      <x:c r="D228" s="5" t="n">
        <x:v>2024</x:v>
      </x:c>
      <x:c r="E228" s="1" t="str">
        <x:v>ok</x:v>
      </x:c>
      <x:c r="F228" s="15" t="n">
        <x:v>177423</x:v>
      </x:c>
      <x:c r="G228" s="15" t="n">
        <x:v>14197</x:v>
      </x:c>
      <x:c r="H228" s="15" t="n">
        <x:v>163226</x:v>
      </x:c>
      <x:c r="I228" s="15" t="n">
        <x:v>78425</x:v>
      </x:c>
      <x:c r="J228" s="15" t="n">
        <x:v>42424</x:v>
      </x:c>
      <x:c r="K228" s="15" t="n">
        <x:v>48.04688</x:v>
      </x:c>
      <x:c r="L228" s="15" t="n">
        <x:v>25.990957</x:v>
      </x:c>
      <x:c r="M228" s="15" t="n">
        <x:v>8.001781</x:v>
      </x:c>
      <x:c r="N228" s="15" t="n">
        <x:v>177423</x:v>
      </x:c>
      <x:c r="O228" s="15" t="n">
        <x:v>5341</x:v>
      </x:c>
      <x:c r="P228" s="15" t="n">
        <x:v>5666</x:v>
      </x:c>
      <x:c r="Q228" s="15" t="n">
        <x:v>1183</x:v>
      </x:c>
      <x:c r="R228" s="15" t="n">
        <x:v>16805</x:v>
      </x:c>
      <x:c r="S228" s="15" t="n">
        <x:v>2434</x:v>
      </x:c>
      <x:c r="T228" s="15" t="n">
        <x:v>19422</x:v>
      </x:c>
      <x:c r="U228" s="15" t="n">
        <x:v>2767</x:v>
      </x:c>
      <x:c r="V228" s="15" t="n">
        <x:v>24374</x:v>
      </x:c>
      <x:c r="W228" s="15" t="n">
        <x:v>3209</x:v>
      </x:c>
      <x:c r="X228" s="15" t="n">
        <x:v>18534</x:v>
      </x:c>
      <x:c r="Y228" s="15" t="n">
        <x:v>2806</x:v>
      </x:c>
      <x:c r="Z228" s="15" t="n">
        <x:v>12551</x:v>
      </x:c>
      <x:c r="AA228" s="15" t="n">
        <x:v>2318</x:v>
      </x:c>
      <x:c r="AB228" s="15" t="n">
        <x:v>12821</x:v>
      </x:c>
      <x:c r="AC228" s="15" t="n">
        <x:v>2522</x:v>
      </x:c>
      <x:c r="AD228" s="15" t="n">
        <x:v>10629</x:v>
      </x:c>
      <x:c r="AE228" s="15" t="n">
        <x:v>1906</x:v>
      </x:c>
      <x:c r="AF228" s="15" t="n">
        <x:v>42424</x:v>
      </x:c>
      <x:c r="AG228" s="15" t="n">
        <x:v>4227</x:v>
      </x:c>
      <x:c r="AH228" s="15" t="n">
        <x:v>14197</x:v>
      </x:c>
      <x:c r="AI228" s="15" t="n">
        <x:v>2426</x:v>
      </x:c>
    </x:row>
    <x:row r="229" ht="22" customHeight="1">
      <x:c r="A229" s="1" t="str">
        <x:v>310M700US31180</x:v>
      </x:c>
      <x:c r="B229" s="1" t="str">
        <x:v>31180</x:v>
      </x:c>
      <x:c r="C229" s="1" t="str">
        <x:v>Lubbock, TX Metro Area</x:v>
      </x:c>
      <x:c r="D229" s="5" t="n">
        <x:v>2024</x:v>
      </x:c>
      <x:c r="E229" s="1" t="str">
        <x:v>ok</x:v>
      </x:c>
      <x:c r="F229" s="15" t="n">
        <x:v>61077</x:v>
      </x:c>
      <x:c r="G229" s="15" t="n">
        <x:v>4144</x:v>
      </x:c>
      <x:c r="H229" s="15" t="n">
        <x:v>56933</x:v>
      </x:c>
      <x:c r="I229" s="15" t="n">
        <x:v>30419</x:v>
      </x:c>
      <x:c r="J229" s="15" t="n">
        <x:v>17570</x:v>
      </x:c>
      <x:c r="K229" s="15" t="n">
        <x:v>53.42947</x:v>
      </x:c>
      <x:c r="L229" s="15" t="n">
        <x:v>30.860836</x:v>
      </x:c>
      <x:c r="M229" s="15" t="n">
        <x:v>6.784878</x:v>
      </x:c>
      <x:c r="N229" s="15" t="n">
        <x:v>61077</x:v>
      </x:c>
      <x:c r="O229" s="15" t="n">
        <x:v>3450</x:v>
      </x:c>
      <x:c r="P229" s="15" t="n">
        <x:v>2010</x:v>
      </x:c>
      <x:c r="Q229" s="15" t="n">
        <x:v>921</x:v>
      </x:c>
      <x:c r="R229" s="15" t="n">
        <x:v>4610</x:v>
      </x:c>
      <x:c r="S229" s="15" t="n">
        <x:v>1335</x:v>
      </x:c>
      <x:c r="T229" s="15" t="n">
        <x:v>7039</x:v>
      </x:c>
      <x:c r="U229" s="15" t="n">
        <x:v>1538</x:v>
      </x:c>
      <x:c r="V229" s="15" t="n">
        <x:v>6451</x:v>
      </x:c>
      <x:c r="W229" s="15" t="n">
        <x:v>1524</x:v>
      </x:c>
      <x:c r="X229" s="15" t="n">
        <x:v>6404</x:v>
      </x:c>
      <x:c r="Y229" s="15" t="n">
        <x:v>1347</x:v>
      </x:c>
      <x:c r="Z229" s="15" t="n">
        <x:v>4880</x:v>
      </x:c>
      <x:c r="AA229" s="15" t="n">
        <x:v>1191</x:v>
      </x:c>
      <x:c r="AB229" s="15" t="n">
        <x:v>2679</x:v>
      </x:c>
      <x:c r="AC229" s="15" t="n">
        <x:v>836</x:v>
      </x:c>
      <x:c r="AD229" s="15" t="n">
        <x:v>5290</x:v>
      </x:c>
      <x:c r="AE229" s="15" t="n">
        <x:v>1353</x:v>
      </x:c>
      <x:c r="AF229" s="15" t="n">
        <x:v>17570</x:v>
      </x:c>
      <x:c r="AG229" s="15" t="n">
        <x:v>2258</x:v>
      </x:c>
      <x:c r="AH229" s="15" t="n">
        <x:v>4144</x:v>
      </x:c>
      <x:c r="AI229" s="15" t="n">
        <x:v>1176</x:v>
      </x:c>
    </x:row>
    <x:row r="230" ht="22" customHeight="1">
      <x:c r="A230" s="1" t="str">
        <x:v>310M700US31340</x:v>
      </x:c>
      <x:c r="B230" s="1" t="str">
        <x:v>31340</x:v>
      </x:c>
      <x:c r="C230" s="1" t="str">
        <x:v>Lynchburg, VA Metro Area</x:v>
      </x:c>
      <x:c r="D230" s="5" t="n">
        <x:v>2024</x:v>
      </x:c>
      <x:c r="E230" s="1" t="str">
        <x:v>ok</x:v>
      </x:c>
      <x:c r="F230" s="15" t="n">
        <x:v>30088</x:v>
      </x:c>
      <x:c r="G230" s="15" t="n">
        <x:v>2849</x:v>
      </x:c>
      <x:c r="H230" s="15" t="n">
        <x:v>27239</x:v>
      </x:c>
      <x:c r="I230" s="15" t="n">
        <x:v>13823</x:v>
      </x:c>
      <x:c r="J230" s="15" t="n">
        <x:v>6650</x:v>
      </x:c>
      <x:c r="K230" s="15" t="n">
        <x:v>50.747091</x:v>
      </x:c>
      <x:c r="L230" s="15" t="n">
        <x:v>24.413525</x:v>
      </x:c>
      <x:c r="M230" s="15" t="n">
        <x:v>9.468891</x:v>
      </x:c>
      <x:c r="N230" s="15" t="n">
        <x:v>30088</x:v>
      </x:c>
      <x:c r="O230" s="15" t="n">
        <x:v>2900</x:v>
      </x:c>
      <x:c r="P230" s="15" t="n">
        <x:v>902</x:v>
      </x:c>
      <x:c r="Q230" s="15" t="n">
        <x:v>588</x:v>
      </x:c>
      <x:c r="R230" s="15" t="n">
        <x:v>2372</x:v>
      </x:c>
      <x:c r="S230" s="15" t="n">
        <x:v>719</x:v>
      </x:c>
      <x:c r="T230" s="15" t="n">
        <x:v>2451</x:v>
      </x:c>
      <x:c r="U230" s="15" t="n">
        <x:v>847</x:v>
      </x:c>
      <x:c r="V230" s="15" t="n">
        <x:v>4837</x:v>
      </x:c>
      <x:c r="W230" s="15" t="n">
        <x:v>1394</x:v>
      </x:c>
      <x:c r="X230" s="15" t="n">
        <x:v>2854</x:v>
      </x:c>
      <x:c r="Y230" s="15" t="n">
        <x:v>846</x:v>
      </x:c>
      <x:c r="Z230" s="15" t="n">
        <x:v>2412</x:v>
      </x:c>
      <x:c r="AA230" s="15" t="n">
        <x:v>913</x:v>
      </x:c>
      <x:c r="AB230" s="15" t="n">
        <x:v>2353</x:v>
      </x:c>
      <x:c r="AC230" s="15" t="n">
        <x:v>676</x:v>
      </x:c>
      <x:c r="AD230" s="15" t="n">
        <x:v>2408</x:v>
      </x:c>
      <x:c r="AE230" s="15" t="n">
        <x:v>851</x:v>
      </x:c>
      <x:c r="AF230" s="15" t="n">
        <x:v>6650</x:v>
      </x:c>
      <x:c r="AG230" s="15" t="n">
        <x:v>1523</x:v>
      </x:c>
      <x:c r="AH230" s="15" t="n">
        <x:v>2849</x:v>
      </x:c>
      <x:c r="AI230" s="15" t="n">
        <x:v>842</x:v>
      </x:c>
    </x:row>
    <x:row r="231" ht="22" customHeight="1">
      <x:c r="A231" s="1" t="str">
        <x:v>310M700US31420</x:v>
      </x:c>
      <x:c r="B231" s="1" t="str">
        <x:v>31420</x:v>
      </x:c>
      <x:c r="C231" s="1" t="str">
        <x:v>Macon-Bibb County, GA Metro Area</x:v>
      </x:c>
      <x:c r="D231" s="5" t="n">
        <x:v>2024</x:v>
      </x:c>
      <x:c r="E231" s="1" t="str">
        <x:v>ok</x:v>
      </x:c>
      <x:c r="F231" s="15" t="n">
        <x:v>33615</x:v>
      </x:c>
      <x:c r="G231" s="15" t="n">
        <x:v>4278</x:v>
      </x:c>
      <x:c r="H231" s="15" t="n">
        <x:v>29337</x:v>
      </x:c>
      <x:c r="I231" s="15" t="n">
        <x:v>15552</x:v>
      </x:c>
      <x:c r="J231" s="15" t="n">
        <x:v>9095</x:v>
      </x:c>
      <x:c r="K231" s="15" t="n">
        <x:v>53.011555</x:v>
      </x:c>
      <x:c r="L231" s="15" t="n">
        <x:v>31.001807</x:v>
      </x:c>
      <x:c r="M231" s="15" t="n">
        <x:v>12.726461</x:v>
      </x:c>
      <x:c r="N231" s="15" t="n">
        <x:v>33615</x:v>
      </x:c>
      <x:c r="O231" s="15" t="n">
        <x:v>2478</x:v>
      </x:c>
      <x:c r="P231" s="15" t="n">
        <x:v>1256</x:v>
      </x:c>
      <x:c r="Q231" s="15" t="n">
        <x:v>753</x:v>
      </x:c>
      <x:c r="R231" s="15" t="n">
        <x:v>2490</x:v>
      </x:c>
      <x:c r="S231" s="15" t="n">
        <x:v>945</x:v>
      </x:c>
      <x:c r="T231" s="15" t="n">
        <x:v>3768</x:v>
      </x:c>
      <x:c r="U231" s="15" t="n">
        <x:v>1560</x:v>
      </x:c>
      <x:c r="V231" s="15" t="n">
        <x:v>3214</x:v>
      </x:c>
      <x:c r="W231" s="15" t="n">
        <x:v>1126</x:v>
      </x:c>
      <x:c r="X231" s="15" t="n">
        <x:v>3057</x:v>
      </x:c>
      <x:c r="Y231" s="15" t="n">
        <x:v>1205</x:v>
      </x:c>
      <x:c r="Z231" s="15" t="n">
        <x:v>2455</x:v>
      </x:c>
      <x:c r="AA231" s="15" t="n">
        <x:v>950</x:v>
      </x:c>
      <x:c r="AB231" s="15" t="n">
        <x:v>1569</x:v>
      </x:c>
      <x:c r="AC231" s="15" t="n">
        <x:v>729</x:v>
      </x:c>
      <x:c r="AD231" s="15" t="n">
        <x:v>2433</x:v>
      </x:c>
      <x:c r="AE231" s="15" t="n">
        <x:v>1081</x:v>
      </x:c>
      <x:c r="AF231" s="15" t="n">
        <x:v>9095</x:v>
      </x:c>
      <x:c r="AG231" s="15" t="n">
        <x:v>1823</x:v>
      </x:c>
      <x:c r="AH231" s="15" t="n">
        <x:v>4278</x:v>
      </x:c>
      <x:c r="AI231" s="15" t="n">
        <x:v>1278</x:v>
      </x:c>
    </x:row>
    <x:row r="232" ht="22" customHeight="1">
      <x:c r="A232" s="1" t="str">
        <x:v>310M700US31540</x:v>
      </x:c>
      <x:c r="B232" s="1" t="str">
        <x:v>31540</x:v>
      </x:c>
      <x:c r="C232" s="1" t="str">
        <x:v>Madison, WI Metro Area</x:v>
      </x:c>
      <x:c r="D232" s="5" t="n">
        <x:v>2024</x:v>
      </x:c>
      <x:c r="E232" s="1" t="str">
        <x:v>ok</x:v>
      </x:c>
      <x:c r="F232" s="15" t="n">
        <x:v>129155</x:v>
      </x:c>
      <x:c r="G232" s="15" t="n">
        <x:v>3619</x:v>
      </x:c>
      <x:c r="H232" s="15" t="n">
        <x:v>125536</x:v>
      </x:c>
      <x:c r="I232" s="15" t="n">
        <x:v>60328</x:v>
      </x:c>
      <x:c r="J232" s="15" t="n">
        <x:v>26723</x:v>
      </x:c>
      <x:c r="K232" s="15" t="n">
        <x:v>48.056334</x:v>
      </x:c>
      <x:c r="L232" s="15" t="n">
        <x:v>21.287121</x:v>
      </x:c>
      <x:c r="M232" s="15" t="n">
        <x:v>2.80206</x:v>
      </x:c>
      <x:c r="N232" s="15" t="n">
        <x:v>129155</x:v>
      </x:c>
      <x:c r="O232" s="15" t="n">
        <x:v>4315</x:v>
      </x:c>
      <x:c r="P232" s="15" t="n">
        <x:v>4876</x:v>
      </x:c>
      <x:c r="Q232" s="15" t="n">
        <x:v>1455</x:v>
      </x:c>
      <x:c r="R232" s="15" t="n">
        <x:v>8460</x:v>
      </x:c>
      <x:c r="S232" s="15" t="n">
        <x:v>1651</x:v>
      </x:c>
      <x:c r="T232" s="15" t="n">
        <x:v>18296</x:v>
      </x:c>
      <x:c r="U232" s="15" t="n">
        <x:v>2638</x:v>
      </x:c>
      <x:c r="V232" s="15" t="n">
        <x:v>16071</x:v>
      </x:c>
      <x:c r="W232" s="15" t="n">
        <x:v>2305</x:v>
      </x:c>
      <x:c r="X232" s="15" t="n">
        <x:v>17505</x:v>
      </x:c>
      <x:c r="Y232" s="15" t="n">
        <x:v>2528</x:v>
      </x:c>
      <x:c r="Z232" s="15" t="n">
        <x:v>12365</x:v>
      </x:c>
      <x:c r="AA232" s="15" t="n">
        <x:v>2294</x:v>
      </x:c>
      <x:c r="AB232" s="15" t="n">
        <x:v>8281</x:v>
      </x:c>
      <x:c r="AC232" s="15" t="n">
        <x:v>1693</x:v>
      </x:c>
      <x:c r="AD232" s="15" t="n">
        <x:v>12959</x:v>
      </x:c>
      <x:c r="AE232" s="15" t="n">
        <x:v>2329</x:v>
      </x:c>
      <x:c r="AF232" s="15" t="n">
        <x:v>26723</x:v>
      </x:c>
      <x:c r="AG232" s="15" t="n">
        <x:v>3073</x:v>
      </x:c>
      <x:c r="AH232" s="15" t="n">
        <x:v>3619</x:v>
      </x:c>
      <x:c r="AI232" s="15" t="n">
        <x:v>913</x:v>
      </x:c>
    </x:row>
    <x:row r="233" ht="22" customHeight="1">
      <x:c r="A233" s="1" t="str">
        <x:v>310M700US31700</x:v>
      </x:c>
      <x:c r="B233" s="1" t="str">
        <x:v>31700</x:v>
      </x:c>
      <x:c r="C233" s="1" t="str">
        <x:v>Manchester-Nashua, NH Metro Area</x:v>
      </x:c>
      <x:c r="D233" s="5" t="n">
        <x:v>2024</x:v>
      </x:c>
      <x:c r="E233" s="1" t="str">
        <x:v>ok</x:v>
      </x:c>
      <x:c r="F233" s="15" t="n">
        <x:v>56556</x:v>
      </x:c>
      <x:c r="G233" s="15" t="n">
        <x:v>2345</x:v>
      </x:c>
      <x:c r="H233" s="15" t="n">
        <x:v>54211</x:v>
      </x:c>
      <x:c r="I233" s="15" t="n">
        <x:v>26164</x:v>
      </x:c>
      <x:c r="J233" s="15" t="n">
        <x:v>13255</x:v>
      </x:c>
      <x:c r="K233" s="15" t="n">
        <x:v>48.263268</x:v>
      </x:c>
      <x:c r="L233" s="15" t="n">
        <x:v>24.450757</x:v>
      </x:c>
      <x:c r="M233" s="15" t="n">
        <x:v>4.146333</x:v>
      </x:c>
      <x:c r="N233" s="15" t="n">
        <x:v>56556</x:v>
      </x:c>
      <x:c r="O233" s="15" t="n">
        <x:v>3681</x:v>
      </x:c>
      <x:c r="P233" s="15" t="n">
        <x:v>1700</x:v>
      </x:c>
      <x:c r="Q233" s="15" t="n">
        <x:v>1145</x:v>
      </x:c>
      <x:c r="R233" s="15" t="n">
        <x:v>3833</x:v>
      </x:c>
      <x:c r="S233" s="15" t="n">
        <x:v>1156</x:v>
      </x:c>
      <x:c r="T233" s="15" t="n">
        <x:v>7689</x:v>
      </x:c>
      <x:c r="U233" s="15" t="n">
        <x:v>1975</x:v>
      </x:c>
      <x:c r="V233" s="15" t="n">
        <x:v>7357</x:v>
      </x:c>
      <x:c r="W233" s="15" t="n">
        <x:v>1814</x:v>
      </x:c>
      <x:c r="X233" s="15" t="n">
        <x:v>7468</x:v>
      </x:c>
      <x:c r="Y233" s="15" t="n">
        <x:v>1394</x:v>
      </x:c>
      <x:c r="Z233" s="15" t="n">
        <x:v>4241</x:v>
      </x:c>
      <x:c r="AA233" s="15" t="n">
        <x:v>1049</x:v>
      </x:c>
      <x:c r="AB233" s="15" t="n">
        <x:v>2931</x:v>
      </x:c>
      <x:c r="AC233" s="15" t="n">
        <x:v>1023</x:v>
      </x:c>
      <x:c r="AD233" s="15" t="n">
        <x:v>5737</x:v>
      </x:c>
      <x:c r="AE233" s="15" t="n">
        <x:v>1517</x:v>
      </x:c>
      <x:c r="AF233" s="15" t="n">
        <x:v>13255</x:v>
      </x:c>
      <x:c r="AG233" s="15" t="n">
        <x:v>2281</x:v>
      </x:c>
      <x:c r="AH233" s="15" t="n">
        <x:v>2345</x:v>
      </x:c>
      <x:c r="AI233" s="15" t="n">
        <x:v>983</x:v>
      </x:c>
    </x:row>
    <x:row r="234" ht="22" customHeight="1">
      <x:c r="A234" s="1" t="str">
        <x:v>310M700US31740</x:v>
      </x:c>
      <x:c r="B234" s="1" t="str">
        <x:v>31740</x:v>
      </x:c>
      <x:c r="C234" s="1" t="str">
        <x:v>Manhattan, KS Metro Area</x:v>
      </x:c>
      <x:c r="D234" s="5" t="n">
        <x:v>2024</x:v>
      </x:c>
      <x:c r="E234" s="1" t="str">
        <x:v>ok</x:v>
      </x:c>
      <x:c r="F234" s="15" t="n">
        <x:v>24499</x:v>
      </x:c>
      <x:c r="G234" s="15" t="n">
        <x:v>2503</x:v>
      </x:c>
      <x:c r="H234" s="15" t="n">
        <x:v>21996</x:v>
      </x:c>
      <x:c r="I234" s="15" t="n">
        <x:v>10577</x:v>
      </x:c>
      <x:c r="J234" s="15" t="n">
        <x:v>4813</x:v>
      </x:c>
      <x:c r="K234" s="15" t="n">
        <x:v>48.086016</x:v>
      </x:c>
      <x:c r="L234" s="15" t="n">
        <x:v>21.881251</x:v>
      </x:c>
      <x:c r="M234" s="15" t="n">
        <x:v>10.216744</x:v>
      </x:c>
      <x:c r="N234" s="15" t="n">
        <x:v>24499</x:v>
      </x:c>
      <x:c r="O234" s="15" t="n">
        <x:v>1646</x:v>
      </x:c>
      <x:c r="P234" s="15" t="n">
        <x:v>1416</x:v>
      </x:c>
      <x:c r="Q234" s="15" t="n">
        <x:v>711</x:v>
      </x:c>
      <x:c r="R234" s="15" t="n">
        <x:v>1810</x:v>
      </x:c>
      <x:c r="S234" s="15" t="n">
        <x:v>826</x:v>
      </x:c>
      <x:c r="T234" s="15" t="n">
        <x:v>2733</x:v>
      </x:c>
      <x:c r="U234" s="15" t="n">
        <x:v>790</x:v>
      </x:c>
      <x:c r="V234" s="15" t="n">
        <x:v>3358</x:v>
      </x:c>
      <x:c r="W234" s="15" t="n">
        <x:v>976</x:v>
      </x:c>
      <x:c r="X234" s="15" t="n">
        <x:v>2102</x:v>
      </x:c>
      <x:c r="Y234" s="15" t="n">
        <x:v>859</x:v>
      </x:c>
      <x:c r="Z234" s="15" t="n">
        <x:v>2528</x:v>
      </x:c>
      <x:c r="AA234" s="15" t="n">
        <x:v>974</x:v>
      </x:c>
      <x:c r="AB234" s="15" t="n">
        <x:v>1540</x:v>
      </x:c>
      <x:c r="AC234" s="15" t="n">
        <x:v>674</x:v>
      </x:c>
      <x:c r="AD234" s="15" t="n">
        <x:v>1696</x:v>
      </x:c>
      <x:c r="AE234" s="15" t="n">
        <x:v>586</x:v>
      </x:c>
      <x:c r="AF234" s="15" t="n">
        <x:v>4813</x:v>
      </x:c>
      <x:c r="AG234" s="15" t="n">
        <x:v>1161</x:v>
      </x:c>
      <x:c r="AH234" s="15" t="n">
        <x:v>2503</x:v>
      </x:c>
      <x:c r="AI234" s="15" t="n">
        <x:v>1001</x:v>
      </x:c>
    </x:row>
    <x:row r="235" ht="22" customHeight="1">
      <x:c r="A235" s="1" t="str">
        <x:v>310M700US31860</x:v>
      </x:c>
      <x:c r="B235" s="1" t="str">
        <x:v>31860</x:v>
      </x:c>
      <x:c r="C235" s="1" t="str">
        <x:v>Mankato, MN Metro Area</x:v>
      </x:c>
      <x:c r="D235" s="5" t="n">
        <x:v>2024</x:v>
      </x:c>
      <x:c r="E235" s="1" t="str">
        <x:v>ok</x:v>
      </x:c>
      <x:c r="F235" s="15" t="n">
        <x:v>15081</x:v>
      </x:c>
      <x:c r="G235" s="15" t="n">
        <x:v>523</x:v>
      </x:c>
      <x:c r="H235" s="15" t="n">
        <x:v>14558</x:v>
      </x:c>
      <x:c r="I235" s="15" t="n">
        <x:v>6080</x:v>
      </x:c>
      <x:c r="J235" s="15" t="n">
        <x:v>4023</x:v>
      </x:c>
      <x:c r="K235" s="15" t="n">
        <x:v>41.763979</x:v>
      </x:c>
      <x:c r="L235" s="15" t="n">
        <x:v>27.63429</x:v>
      </x:c>
      <x:c r="M235" s="15" t="n">
        <x:v>3.46794</x:v>
      </x:c>
      <x:c r="N235" s="15" t="n">
        <x:v>15081</x:v>
      </x:c>
      <x:c r="O235" s="15" t="n">
        <x:v>1238</x:v>
      </x:c>
      <x:c r="P235" s="15" t="n">
        <x:v>869</x:v>
      </x:c>
      <x:c r="Q235" s="15" t="n">
        <x:v>583</x:v>
      </x:c>
      <x:c r="R235" s="15" t="n">
        <x:v>1420</x:v>
      </x:c>
      <x:c r="S235" s="15" t="n">
        <x:v>603</x:v>
      </x:c>
      <x:c r="T235" s="15" t="n">
        <x:v>2533</x:v>
      </x:c>
      <x:c r="U235" s="15" t="n">
        <x:v>1054</x:v>
      </x:c>
      <x:c r="V235" s="15" t="n">
        <x:v>1913</x:v>
      </x:c>
      <x:c r="W235" s="15" t="n">
        <x:v>785</x:v>
      </x:c>
      <x:c r="X235" s="15" t="n">
        <x:v>1743</x:v>
      </x:c>
      <x:c r="Y235" s="15" t="n">
        <x:v>775</x:v>
      </x:c>
      <x:c r="Z235" s="15" t="n">
        <x:v>655</x:v>
      </x:c>
      <x:c r="AA235" s="15" t="n">
        <x:v>413</x:v>
      </x:c>
      <x:c r="AB235" s="15" t="n">
        <x:v>843</x:v>
      </x:c>
      <x:c r="AC235" s="15" t="n">
        <x:v>459</x:v>
      </x:c>
      <x:c r="AD235" s="15" t="n">
        <x:v>559</x:v>
      </x:c>
      <x:c r="AE235" s="15" t="n">
        <x:v>467</x:v>
      </x:c>
      <x:c r="AF235" s="15" t="n">
        <x:v>4023</x:v>
      </x:c>
      <x:c r="AG235" s="15" t="n">
        <x:v>1230</x:v>
      </x:c>
      <x:c r="AH235" s="15" t="n">
        <x:v>523</x:v>
      </x:c>
      <x:c r="AI235" s="15" t="n">
        <x:v>249</x:v>
      </x:c>
    </x:row>
    <x:row r="236" ht="22" customHeight="1">
      <x:c r="A236" s="1" t="str">
        <x:v>310M700US31900</x:v>
      </x:c>
      <x:c r="B236" s="1" t="str">
        <x:v>31900</x:v>
      </x:c>
      <x:c r="C236" s="1" t="str">
        <x:v>Mansfield, OH Metro Area</x:v>
      </x:c>
      <x:c r="D236" s="5" t="n">
        <x:v>2024</x:v>
      </x:c>
      <x:c r="E236" s="1" t="str">
        <x:v>ok</x:v>
      </x:c>
      <x:c r="F236" s="15" t="n">
        <x:v>16328</x:v>
      </x:c>
      <x:c r="G236" s="15" t="n">
        <x:v>1208</x:v>
      </x:c>
      <x:c r="H236" s="15" t="n">
        <x:v>15120</x:v>
      </x:c>
      <x:c r="I236" s="15" t="n">
        <x:v>4016</x:v>
      </x:c>
      <x:c r="J236" s="15" t="n">
        <x:v>1812</x:v>
      </x:c>
      <x:c r="K236" s="15" t="n">
        <x:v>26.560847</x:v>
      </x:c>
      <x:c r="L236" s="15" t="n">
        <x:v>11.984127</x:v>
      </x:c>
      <x:c r="M236" s="15" t="n">
        <x:v>7.398334</x:v>
      </x:c>
      <x:c r="N236" s="15" t="n">
        <x:v>16328</x:v>
      </x:c>
      <x:c r="O236" s="15" t="n">
        <x:v>1735</x:v>
      </x:c>
      <x:c r="P236" s="15" t="n">
        <x:v>404</x:v>
      </x:c>
      <x:c r="Q236" s="15" t="n">
        <x:v>278</x:v>
      </x:c>
      <x:c r="R236" s="15" t="n">
        <x:v>2690</x:v>
      </x:c>
      <x:c r="S236" s="15" t="n">
        <x:v>927</x:v>
      </x:c>
      <x:c r="T236" s="15" t="n">
        <x:v>3007</x:v>
      </x:c>
      <x:c r="U236" s="15" t="n">
        <x:v>1141</x:v>
      </x:c>
      <x:c r="V236" s="15" t="n">
        <x:v>1727</x:v>
      </x:c>
      <x:c r="W236" s="15" t="n">
        <x:v>725</x:v>
      </x:c>
      <x:c r="X236" s="15" t="n">
        <x:v>3276</x:v>
      </x:c>
      <x:c r="Y236" s="15" t="n">
        <x:v>1340</x:v>
      </x:c>
      <x:c r="Z236" s="15" t="n">
        <x:v>721</x:v>
      </x:c>
      <x:c r="AA236" s="15" t="n">
        <x:v>366</x:v>
      </x:c>
      <x:c r="AB236" s="15" t="n">
        <x:v>976</x:v>
      </x:c>
      <x:c r="AC236" s="15" t="n">
        <x:v>638</x:v>
      </x:c>
      <x:c r="AD236" s="15" t="n">
        <x:v>507</x:v>
      </x:c>
      <x:c r="AE236" s="15" t="n">
        <x:v>340</x:v>
      </x:c>
      <x:c r="AF236" s="15" t="n">
        <x:v>1812</x:v>
      </x:c>
      <x:c r="AG236" s="15" t="n">
        <x:v>731</x:v>
      </x:c>
      <x:c r="AH236" s="15" t="n">
        <x:v>1208</x:v>
      </x:c>
      <x:c r="AI236" s="15" t="n">
        <x:v>553</x:v>
      </x:c>
    </x:row>
    <x:row r="237" ht="22" customHeight="1">
      <x:c r="A237" s="1" t="str">
        <x:v>310M700US32580</x:v>
      </x:c>
      <x:c r="B237" s="1" t="str">
        <x:v>32580</x:v>
      </x:c>
      <x:c r="C237" s="1" t="str">
        <x:v>McAllen-Edinburg-Mission, TX Metro Area</x:v>
      </x:c>
      <x:c r="D237" s="5" t="n">
        <x:v>2024</x:v>
      </x:c>
      <x:c r="E237" s="1" t="str">
        <x:v>ok</x:v>
      </x:c>
      <x:c r="F237" s="15" t="n">
        <x:v>95038</x:v>
      </x:c>
      <x:c r="G237" s="15" t="n">
        <x:v>10847</x:v>
      </x:c>
      <x:c r="H237" s="15" t="n">
        <x:v>84191</x:v>
      </x:c>
      <x:c r="I237" s="15" t="n">
        <x:v>40047</x:v>
      </x:c>
      <x:c r="J237" s="15" t="n">
        <x:v>19821</x:v>
      </x:c>
      <x:c r="K237" s="15" t="n">
        <x:v>47.566842</x:v>
      </x:c>
      <x:c r="L237" s="15" t="n">
        <x:v>23.542897</x:v>
      </x:c>
      <x:c r="M237" s="15" t="n">
        <x:v>11.413329</x:v>
      </x:c>
      <x:c r="N237" s="15" t="n">
        <x:v>95038</x:v>
      </x:c>
      <x:c r="O237" s="15" t="n">
        <x:v>4428</x:v>
      </x:c>
      <x:c r="P237" s="15" t="n">
        <x:v>4022</x:v>
      </x:c>
      <x:c r="Q237" s="15" t="n">
        <x:v>1681</x:v>
      </x:c>
      <x:c r="R237" s="15" t="n">
        <x:v>8696</x:v>
      </x:c>
      <x:c r="S237" s="15" t="n">
        <x:v>2028</x:v>
      </x:c>
      <x:c r="T237" s="15" t="n">
        <x:v>11074</x:v>
      </x:c>
      <x:c r="U237" s="15" t="n">
        <x:v>2222</x:v>
      </x:c>
      <x:c r="V237" s="15" t="n">
        <x:v>11147</x:v>
      </x:c>
      <x:c r="W237" s="15" t="n">
        <x:v>2187</x:v>
      </x:c>
      <x:c r="X237" s="15" t="n">
        <x:v>9205</x:v>
      </x:c>
      <x:c r="Y237" s="15" t="n">
        <x:v>2002</x:v>
      </x:c>
      <x:c r="Z237" s="15" t="n">
        <x:v>6736</x:v>
      </x:c>
      <x:c r="AA237" s="15" t="n">
        <x:v>1840</x:v>
      </x:c>
      <x:c r="AB237" s="15" t="n">
        <x:v>4727</x:v>
      </x:c>
      <x:c r="AC237" s="15" t="n">
        <x:v>1248</x:v>
      </x:c>
      <x:c r="AD237" s="15" t="n">
        <x:v>8763</x:v>
      </x:c>
      <x:c r="AE237" s="15" t="n">
        <x:v>1990</x:v>
      </x:c>
      <x:c r="AF237" s="15" t="n">
        <x:v>19821</x:v>
      </x:c>
      <x:c r="AG237" s="15" t="n">
        <x:v>2730</x:v>
      </x:c>
      <x:c r="AH237" s="15" t="n">
        <x:v>10847</x:v>
      </x:c>
      <x:c r="AI237" s="15" t="n">
        <x:v>1967</x:v>
      </x:c>
    </x:row>
    <x:row r="238" ht="22" customHeight="1">
      <x:c r="A238" s="1" t="str">
        <x:v>310M700US32780</x:v>
      </x:c>
      <x:c r="B238" s="1" t="str">
        <x:v>32780</x:v>
      </x:c>
      <x:c r="C238" s="1" t="str">
        <x:v>Medford, OR Metro Area</x:v>
      </x:c>
      <x:c r="D238" s="5" t="n">
        <x:v>2024</x:v>
      </x:c>
      <x:c r="E238" s="1" t="str">
        <x:v>ok</x:v>
      </x:c>
      <x:c r="F238" s="15" t="n">
        <x:v>33135</x:v>
      </x:c>
      <x:c r="G238" s="15" t="n">
        <x:v>2325</x:v>
      </x:c>
      <x:c r="H238" s="15" t="n">
        <x:v>30810</x:v>
      </x:c>
      <x:c r="I238" s="15" t="n">
        <x:v>18057</x:v>
      </x:c>
      <x:c r="J238" s="15" t="n">
        <x:v>7862</x:v>
      </x:c>
      <x:c r="K238" s="15" t="n">
        <x:v>58.607595</x:v>
      </x:c>
      <x:c r="L238" s="15" t="n">
        <x:v>25.517689</x:v>
      </x:c>
      <x:c r="M238" s="15" t="n">
        <x:v>7.01675</x:v>
      </x:c>
      <x:c r="N238" s="15" t="n">
        <x:v>33135</x:v>
      </x:c>
      <x:c r="O238" s="15" t="n">
        <x:v>3027</x:v>
      </x:c>
      <x:c r="P238" s="15" t="n">
        <x:v>595</x:v>
      </x:c>
      <x:c r="Q238" s="15" t="n">
        <x:v>412</x:v>
      </x:c>
      <x:c r="R238" s="15" t="n">
        <x:v>2260</x:v>
      </x:c>
      <x:c r="S238" s="15" t="n">
        <x:v>870</x:v>
      </x:c>
      <x:c r="T238" s="15" t="n">
        <x:v>3356</x:v>
      </x:c>
      <x:c r="U238" s="15" t="n">
        <x:v>1215</x:v>
      </x:c>
      <x:c r="V238" s="15" t="n">
        <x:v>3510</x:v>
      </x:c>
      <x:c r="W238" s="15" t="n">
        <x:v>1066</x:v>
      </x:c>
      <x:c r="X238" s="15" t="n">
        <x:v>3032</x:v>
      </x:c>
      <x:c r="Y238" s="15" t="n">
        <x:v>1030</x:v>
      </x:c>
      <x:c r="Z238" s="15" t="n">
        <x:v>4151</x:v>
      </x:c>
      <x:c r="AA238" s="15" t="n">
        <x:v>1408</x:v>
      </x:c>
      <x:c r="AB238" s="15" t="n">
        <x:v>2783</x:v>
      </x:c>
      <x:c r="AC238" s="15" t="n">
        <x:v>1240</x:v>
      </x:c>
      <x:c r="AD238" s="15" t="n">
        <x:v>3261</x:v>
      </x:c>
      <x:c r="AE238" s="15" t="n">
        <x:v>1196</x:v>
      </x:c>
      <x:c r="AF238" s="15" t="n">
        <x:v>7862</x:v>
      </x:c>
      <x:c r="AG238" s="15" t="n">
        <x:v>1860</x:v>
      </x:c>
      <x:c r="AH238" s="15" t="n">
        <x:v>2325</x:v>
      </x:c>
      <x:c r="AI238" s="15" t="n">
        <x:v>1027</x:v>
      </x:c>
    </x:row>
    <x:row r="239" ht="22" customHeight="1">
      <x:c r="A239" s="1" t="str">
        <x:v>310M700US32820</x:v>
      </x:c>
      <x:c r="B239" s="1" t="str">
        <x:v>32820</x:v>
      </x:c>
      <x:c r="C239" s="1" t="str">
        <x:v>Memphis, TN-MS-AR Metro Area</x:v>
      </x:c>
      <x:c r="D239" s="5" t="n">
        <x:v>2024</x:v>
      </x:c>
      <x:c r="E239" s="1" t="str">
        <x:v>ok</x:v>
      </x:c>
      <x:c r="F239" s="15" t="n">
        <x:v>213355</x:v>
      </x:c>
      <x:c r="G239" s="15" t="n">
        <x:v>14702</x:v>
      </x:c>
      <x:c r="H239" s="15" t="n">
        <x:v>198653</x:v>
      </x:c>
      <x:c r="I239" s="15" t="n">
        <x:v>110228</x:v>
      </x:c>
      <x:c r="J239" s="15" t="n">
        <x:v>57965</x:v>
      </x:c>
      <x:c r="K239" s="15" t="n">
        <x:v>55.48771</x:v>
      </x:c>
      <x:c r="L239" s="15" t="n">
        <x:v>29.179021</x:v>
      </x:c>
      <x:c r="M239" s="15" t="n">
        <x:v>6.890863</x:v>
      </x:c>
      <x:c r="N239" s="15" t="n">
        <x:v>213355</x:v>
      </x:c>
      <x:c r="O239" s="15" t="n">
        <x:v>6304</x:v>
      </x:c>
      <x:c r="P239" s="15" t="n">
        <x:v>4954</x:v>
      </x:c>
      <x:c r="Q239" s="15" t="n">
        <x:v>1693</x:v>
      </x:c>
      <x:c r="R239" s="15" t="n">
        <x:v>15473</x:v>
      </x:c>
      <x:c r="S239" s="15" t="n">
        <x:v>2613</x:v>
      </x:c>
      <x:c r="T239" s="15" t="n">
        <x:v>24870</x:v>
      </x:c>
      <x:c r="U239" s="15" t="n">
        <x:v>3740</x:v>
      </x:c>
      <x:c r="V239" s="15" t="n">
        <x:v>22672</x:v>
      </x:c>
      <x:c r="W239" s="15" t="n">
        <x:v>3884</x:v>
      </x:c>
      <x:c r="X239" s="15" t="n">
        <x:v>20456</x:v>
      </x:c>
      <x:c r="Y239" s="15" t="n">
        <x:v>2862</x:v>
      </x:c>
      <x:c r="Z239" s="15" t="n">
        <x:v>15530</x:v>
      </x:c>
      <x:c r="AA239" s="15" t="n">
        <x:v>2744</x:v>
      </x:c>
      <x:c r="AB239" s="15" t="n">
        <x:v>14656</x:v>
      </x:c>
      <x:c r="AC239" s="15" t="n">
        <x:v>2911</x:v>
      </x:c>
      <x:c r="AD239" s="15" t="n">
        <x:v>22077</x:v>
      </x:c>
      <x:c r="AE239" s="15" t="n">
        <x:v>3376</x:v>
      </x:c>
      <x:c r="AF239" s="15" t="n">
        <x:v>57965</x:v>
      </x:c>
      <x:c r="AG239" s="15" t="n">
        <x:v>4712</x:v>
      </x:c>
      <x:c r="AH239" s="15" t="n">
        <x:v>14702</x:v>
      </x:c>
      <x:c r="AI239" s="15" t="n">
        <x:v>2635</x:v>
      </x:c>
    </x:row>
    <x:row r="240" ht="22" customHeight="1">
      <x:c r="A240" s="1" t="str">
        <x:v>310M700US32900</x:v>
      </x:c>
      <x:c r="B240" s="1" t="str">
        <x:v>32900</x:v>
      </x:c>
      <x:c r="C240" s="1" t="str">
        <x:v>Merced, CA Metro Area</x:v>
      </x:c>
      <x:c r="D240" s="5" t="n">
        <x:v>2024</x:v>
      </x:c>
      <x:c r="E240" s="1" t="str">
        <x:v>ok</x:v>
      </x:c>
      <x:c r="F240" s="15" t="n">
        <x:v>39152</x:v>
      </x:c>
      <x:c r="G240" s="15" t="n">
        <x:v>3512</x:v>
      </x:c>
      <x:c r="H240" s="15" t="n">
        <x:v>35640</x:v>
      </x:c>
      <x:c r="I240" s="15" t="n">
        <x:v>20588</x:v>
      </x:c>
      <x:c r="J240" s="15" t="n">
        <x:v>10766</x:v>
      </x:c>
      <x:c r="K240" s="15" t="n">
        <x:v>57.766554</x:v>
      </x:c>
      <x:c r="L240" s="15" t="n">
        <x:v>30.207632</x:v>
      </x:c>
      <x:c r="M240" s="15" t="n">
        <x:v>8.970168</x:v>
      </x:c>
      <x:c r="N240" s="15" t="n">
        <x:v>39152</x:v>
      </x:c>
      <x:c r="O240" s="15" t="n">
        <x:v>2835</x:v>
      </x:c>
      <x:c r="P240" s="15" t="n">
        <x:v>1195</x:v>
      </x:c>
      <x:c r="Q240" s="15" t="n">
        <x:v>584</x:v>
      </x:c>
      <x:c r="R240" s="15" t="n">
        <x:v>2372</x:v>
      </x:c>
      <x:c r="S240" s="15" t="n">
        <x:v>1052</x:v>
      </x:c>
      <x:c r="T240" s="15" t="n">
        <x:v>3766</x:v>
      </x:c>
      <x:c r="U240" s="15" t="n">
        <x:v>1149</x:v>
      </x:c>
      <x:c r="V240" s="15" t="n">
        <x:v>4038</x:v>
      </x:c>
      <x:c r="W240" s="15" t="n">
        <x:v>1206</x:v>
      </x:c>
      <x:c r="X240" s="15" t="n">
        <x:v>3681</x:v>
      </x:c>
      <x:c r="Y240" s="15" t="n">
        <x:v>1218</x:v>
      </x:c>
      <x:c r="Z240" s="15" t="n">
        <x:v>4291</x:v>
      </x:c>
      <x:c r="AA240" s="15" t="n">
        <x:v>1390</x:v>
      </x:c>
      <x:c r="AB240" s="15" t="n">
        <x:v>2404</x:v>
      </x:c>
      <x:c r="AC240" s="15" t="n">
        <x:v>1013</x:v>
      </x:c>
      <x:c r="AD240" s="15" t="n">
        <x:v>3127</x:v>
      </x:c>
      <x:c r="AE240" s="15" t="n">
        <x:v>1004</x:v>
      </x:c>
      <x:c r="AF240" s="15" t="n">
        <x:v>10766</x:v>
      </x:c>
      <x:c r="AG240" s="15" t="n">
        <x:v>1830</x:v>
      </x:c>
      <x:c r="AH240" s="15" t="n">
        <x:v>3512</x:v>
      </x:c>
      <x:c r="AI240" s="15" t="n">
        <x:v>1127</x:v>
      </x:c>
    </x:row>
    <x:row r="241" ht="22" customHeight="1">
      <x:c r="A241" s="1" t="str">
        <x:v>310M700US33100</x:v>
      </x:c>
      <x:c r="B241" s="1" t="str">
        <x:v>33100</x:v>
      </x:c>
      <x:c r="C241" s="1" t="str">
        <x:v>Miami-Fort Lauderdale-West Palm Beach, FL Metro Area</x:v>
      </x:c>
      <x:c r="D241" s="5" t="n">
        <x:v>2024</x:v>
      </x:c>
      <x:c r="E241" s="1" t="str">
        <x:v>ok</x:v>
      </x:c>
      <x:c r="F241" s="15" t="n">
        <x:v>933538</x:v>
      </x:c>
      <x:c r="G241" s="15" t="n">
        <x:v>51124</x:v>
      </x:c>
      <x:c r="H241" s="15" t="n">
        <x:v>882414</x:v>
      </x:c>
      <x:c r="I241" s="15" t="n">
        <x:v>580418</x:v>
      </x:c>
      <x:c r="J241" s="15" t="n">
        <x:v>319368</x:v>
      </x:c>
      <x:c r="K241" s="15" t="n">
        <x:v>65.776155</x:v>
      </x:c>
      <x:c r="L241" s="15" t="n">
        <x:v>36.192535</x:v>
      </x:c>
      <x:c r="M241" s="15" t="n">
        <x:v>5.476371</x:v>
      </x:c>
      <x:c r="N241" s="15" t="n">
        <x:v>933538</x:v>
      </x:c>
      <x:c r="O241" s="15" t="n">
        <x:v>14384</x:v>
      </x:c>
      <x:c r="P241" s="15" t="n">
        <x:v>18007</x:v>
      </x:c>
      <x:c r="Q241" s="15" t="n">
        <x:v>2970</x:v>
      </x:c>
      <x:c r="R241" s="15" t="n">
        <x:v>39028</x:v>
      </x:c>
      <x:c r="S241" s="15" t="n">
        <x:v>4113</x:v>
      </x:c>
      <x:c r="T241" s="15" t="n">
        <x:v>66560</x:v>
      </x:c>
      <x:c r="U241" s="15" t="n">
        <x:v>5332</x:v>
      </x:c>
      <x:c r="V241" s="15" t="n">
        <x:v>82794</x:v>
      </x:c>
      <x:c r="W241" s="15" t="n">
        <x:v>6084</x:v>
      </x:c>
      <x:c r="X241" s="15" t="n">
        <x:v>95607</x:v>
      </x:c>
      <x:c r="Y241" s="15" t="n">
        <x:v>5481</x:v>
      </x:c>
      <x:c r="Z241" s="15" t="n">
        <x:v>90825</x:v>
      </x:c>
      <x:c r="AA241" s="15" t="n">
        <x:v>6442</x:v>
      </x:c>
      <x:c r="AB241" s="15" t="n">
        <x:v>67345</x:v>
      </x:c>
      <x:c r="AC241" s="15" t="n">
        <x:v>5445</x:v>
      </x:c>
      <x:c r="AD241" s="15" t="n">
        <x:v>102880</x:v>
      </x:c>
      <x:c r="AE241" s="15" t="n">
        <x:v>7090</x:v>
      </x:c>
      <x:c r="AF241" s="15" t="n">
        <x:v>319368</x:v>
      </x:c>
      <x:c r="AG241" s="15" t="n">
        <x:v>10448</x:v>
      </x:c>
      <x:c r="AH241" s="15" t="n">
        <x:v>51124</x:v>
      </x:c>
      <x:c r="AI241" s="15" t="n">
        <x:v>4494</x:v>
      </x:c>
    </x:row>
    <x:row r="242" ht="22" customHeight="1">
      <x:c r="A242" s="1" t="str">
        <x:v>310M700US33140</x:v>
      </x:c>
      <x:c r="B242" s="1" t="str">
        <x:v>33140</x:v>
      </x:c>
      <x:c r="C242" s="1" t="str">
        <x:v>Michigan City-La Porte, IN Metro Area</x:v>
      </x:c>
      <x:c r="D242" s="5" t="n">
        <x:v>2024</x:v>
      </x:c>
      <x:c r="E242" s="1" t="str">
        <x:v>ok</x:v>
      </x:c>
      <x:c r="F242" s="15" t="n">
        <x:v>11021</x:v>
      </x:c>
      <x:c r="G242" s="15" t="n">
        <x:v>1647</x:v>
      </x:c>
      <x:c r="H242" s="15" t="n">
        <x:v>9374</x:v>
      </x:c>
      <x:c r="I242" s="15" t="n">
        <x:v>4417</x:v>
      </x:c>
      <x:c r="J242" s="15" t="n">
        <x:v>2472</x:v>
      </x:c>
      <x:c r="K242" s="15" t="n">
        <x:v>47.119693</x:v>
      </x:c>
      <x:c r="L242" s="15" t="n">
        <x:v>26.370813</x:v>
      </x:c>
      <x:c r="M242" s="15" t="n">
        <x:v>14.944197</x:v>
      </x:c>
      <x:c r="N242" s="15" t="n">
        <x:v>11021</x:v>
      </x:c>
      <x:c r="O242" s="15" t="n">
        <x:v>1497</x:v>
      </x:c>
      <x:c r="P242" s="15" t="n">
        <x:v>343</x:v>
      </x:c>
      <x:c r="Q242" s="15" t="n">
        <x:v>331</x:v>
      </x:c>
      <x:c r="R242" s="15" t="n">
        <x:v>934</x:v>
      </x:c>
      <x:c r="S242" s="15" t="n">
        <x:v>515</x:v>
      </x:c>
      <x:c r="T242" s="15" t="n">
        <x:v>1246</x:v>
      </x:c>
      <x:c r="U242" s="15" t="n">
        <x:v>603</x:v>
      </x:c>
      <x:c r="V242" s="15" t="n">
        <x:v>1476</x:v>
      </x:c>
      <x:c r="W242" s="15" t="n">
        <x:v>787</x:v>
      </x:c>
      <x:c r="X242" s="15" t="n">
        <x:v>958</x:v>
      </x:c>
      <x:c r="Y242" s="15" t="n">
        <x:v>493</x:v>
      </x:c>
      <x:c r="Z242" s="15" t="n">
        <x:v>481</x:v>
      </x:c>
      <x:c r="AA242" s="15" t="n">
        <x:v>330</x:v>
      </x:c>
      <x:c r="AB242" s="15" t="n">
        <x:v>613</x:v>
      </x:c>
      <x:c r="AC242" s="15" t="n">
        <x:v>478</x:v>
      </x:c>
      <x:c r="AD242" s="15" t="n">
        <x:v>851</x:v>
      </x:c>
      <x:c r="AE242" s="15" t="n">
        <x:v>502</x:v>
      </x:c>
      <x:c r="AF242" s="15" t="n">
        <x:v>2472</x:v>
      </x:c>
      <x:c r="AG242" s="15" t="n">
        <x:v>977</x:v>
      </x:c>
      <x:c r="AH242" s="15" t="n">
        <x:v>1647</x:v>
      </x:c>
      <x:c r="AI242" s="15" t="n">
        <x:v>861</x:v>
      </x:c>
    </x:row>
    <x:row r="243" ht="22" customHeight="1">
      <x:c r="A243" s="1" t="str">
        <x:v>310M700US33220</x:v>
      </x:c>
      <x:c r="B243" s="1" t="str">
        <x:v>33220</x:v>
      </x:c>
      <x:c r="C243" s="1" t="str">
        <x:v>Midland, MI Metro Area</x:v>
      </x:c>
      <x:c r="D243" s="5" t="n">
        <x:v>2024</x:v>
      </x:c>
      <x:c r="E243" s="1" t="str">
        <x:v>ok</x:v>
      </x:c>
      <x:c r="F243" s="15" t="n">
        <x:v>7361</x:v>
      </x:c>
      <x:c r="G243" s="15" t="n">
        <x:v>531</x:v>
      </x:c>
      <x:c r="H243" s="15" t="n">
        <x:v>6830</x:v>
      </x:c>
      <x:c r="I243" s="15" t="n">
        <x:v>3349</x:v>
      </x:c>
      <x:c r="J243" s="15" t="n">
        <x:v>2127</x:v>
      </x:c>
      <x:c r="K243" s="15" t="n">
        <x:v>49.033675</x:v>
      </x:c>
      <x:c r="L243" s="15" t="n">
        <x:v>31.14202</x:v>
      </x:c>
      <x:c r="M243" s="15" t="n">
        <x:v>7.213694</x:v>
      </x:c>
      <x:c r="N243" s="15" t="n">
        <x:v>7361</x:v>
      </x:c>
      <x:c r="O243" s="15" t="n">
        <x:v>1043</x:v>
      </x:c>
      <x:c r="P243" s="15" t="n">
        <x:v>533</x:v>
      </x:c>
      <x:c r="Q243" s="15" t="n">
        <x:v>421</x:v>
      </x:c>
      <x:c r="R243" s="15" t="n">
        <x:v>943</x:v>
      </x:c>
      <x:c r="S243" s="15" t="n">
        <x:v>447</x:v>
      </x:c>
      <x:c r="T243" s="15" t="n">
        <x:v>708</x:v>
      </x:c>
      <x:c r="U243" s="15" t="n">
        <x:v>345</x:v>
      </x:c>
      <x:c r="V243" s="15" t="n">
        <x:v>483</x:v>
      </x:c>
      <x:c r="W243" s="15" t="n">
        <x:v>252</x:v>
      </x:c>
      <x:c r="X243" s="15" t="n">
        <x:v>814</x:v>
      </x:c>
      <x:c r="Y243" s="15" t="n">
        <x:v>414</x:v>
      </x:c>
      <x:c r="Z243" s="15" t="n">
        <x:v>201</x:v>
      </x:c>
      <x:c r="AA243" s="15" t="n">
        <x:v>199</x:v>
      </x:c>
      <x:c r="AB243" s="15" t="n">
        <x:v>540</x:v>
      </x:c>
      <x:c r="AC243" s="15" t="n">
        <x:v>397</x:v>
      </x:c>
      <x:c r="AD243" s="15" t="n">
        <x:v>481</x:v>
      </x:c>
      <x:c r="AE243" s="15" t="n">
        <x:v>341</x:v>
      </x:c>
      <x:c r="AF243" s="15" t="n">
        <x:v>2127</x:v>
      </x:c>
      <x:c r="AG243" s="15" t="n">
        <x:v>772</x:v>
      </x:c>
      <x:c r="AH243" s="15" t="n">
        <x:v>531</x:v>
      </x:c>
      <x:c r="AI243" s="15" t="n">
        <x:v>285</x:v>
      </x:c>
    </x:row>
    <x:row r="244" ht="22" customHeight="1">
      <x:c r="A244" s="1" t="str">
        <x:v>310M700US33260</x:v>
      </x:c>
      <x:c r="B244" s="1" t="str">
        <x:v>33260</x:v>
      </x:c>
      <x:c r="C244" s="1" t="str">
        <x:v>Midland, TX Metro Area</x:v>
      </x:c>
      <x:c r="D244" s="5" t="n">
        <x:v>2024</x:v>
      </x:c>
      <x:c r="E244" s="1" t="str">
        <x:v>ok</x:v>
      </x:c>
      <x:c r="F244" s="15" t="n">
        <x:v>24878</x:v>
      </x:c>
      <x:c r="G244" s="15" t="n">
        <x:v>998</x:v>
      </x:c>
      <x:c r="H244" s="15" t="n">
        <x:v>23880</x:v>
      </x:c>
      <x:c r="I244" s="15" t="n">
        <x:v>12752</x:v>
      </x:c>
      <x:c r="J244" s="15" t="n">
        <x:v>6081</x:v>
      </x:c>
      <x:c r="K244" s="15" t="n">
        <x:v>53.400335</x:v>
      </x:c>
      <x:c r="L244" s="15" t="n">
        <x:v>25.464824</x:v>
      </x:c>
      <x:c r="M244" s="15" t="n">
        <x:v>4.011576</x:v>
      </x:c>
      <x:c r="N244" s="15" t="n">
        <x:v>24878</x:v>
      </x:c>
      <x:c r="O244" s="15" t="n">
        <x:v>2875</x:v>
      </x:c>
      <x:c r="P244" s="15" t="n">
        <x:v>1206</x:v>
      </x:c>
      <x:c r="Q244" s="15" t="n">
        <x:v>1045</x:v>
      </x:c>
      <x:c r="R244" s="15" t="n">
        <x:v>2002</x:v>
      </x:c>
      <x:c r="S244" s="15" t="n">
        <x:v>998</x:v>
      </x:c>
      <x:c r="T244" s="15" t="n">
        <x:v>3003</x:v>
      </x:c>
      <x:c r="U244" s="15" t="n">
        <x:v>1539</x:v>
      </x:c>
      <x:c r="V244" s="15" t="n">
        <x:v>2411</x:v>
      </x:c>
      <x:c r="W244" s="15" t="n">
        <x:v>1135</x:v>
      </x:c>
      <x:c r="X244" s="15" t="n">
        <x:v>2506</x:v>
      </x:c>
      <x:c r="Y244" s="15" t="n">
        <x:v>1355</x:v>
      </x:c>
      <x:c r="Z244" s="15" t="n">
        <x:v>3130</x:v>
      </x:c>
      <x:c r="AA244" s="15" t="n">
        <x:v>1832</x:v>
      </x:c>
      <x:c r="AB244" s="15" t="n">
        <x:v>2206</x:v>
      </x:c>
      <x:c r="AC244" s="15" t="n">
        <x:v>1115</x:v>
      </x:c>
      <x:c r="AD244" s="15" t="n">
        <x:v>1335</x:v>
      </x:c>
      <x:c r="AE244" s="15" t="n">
        <x:v>691</x:v>
      </x:c>
      <x:c r="AF244" s="15" t="n">
        <x:v>6081</x:v>
      </x:c>
      <x:c r="AG244" s="15" t="n">
        <x:v>1859</x:v>
      </x:c>
      <x:c r="AH244" s="15" t="n">
        <x:v>998</x:v>
      </x:c>
      <x:c r="AI244" s="15" t="n">
        <x:v>680</x:v>
      </x:c>
    </x:row>
    <x:row r="245" ht="22" customHeight="1">
      <x:c r="A245" s="1" t="str">
        <x:v>310M700US33340</x:v>
      </x:c>
      <x:c r="B245" s="1" t="str">
        <x:v>33340</x:v>
      </x:c>
      <x:c r="C245" s="1" t="str">
        <x:v>Milwaukee-Waukesha, WI Metro Area</x:v>
      </x:c>
      <x:c r="D245" s="5" t="n">
        <x:v>2024</x:v>
      </x:c>
      <x:c r="E245" s="1" t="str">
        <x:v>ok</x:v>
      </x:c>
      <x:c r="F245" s="15" t="n">
        <x:v>260009</x:v>
      </x:c>
      <x:c r="G245" s="15" t="n">
        <x:v>12487</x:v>
      </x:c>
      <x:c r="H245" s="15" t="n">
        <x:v>247522</x:v>
      </x:c>
      <x:c r="I245" s="15" t="n">
        <x:v>119870</x:v>
      </x:c>
      <x:c r="J245" s="15" t="n">
        <x:v>58859</x:v>
      </x:c>
      <x:c r="K245" s="15" t="n">
        <x:v>48.428019</x:v>
      </x:c>
      <x:c r="L245" s="15" t="n">
        <x:v>23.7793</x:v>
      </x:c>
      <x:c r="M245" s="15" t="n">
        <x:v>4.802526</x:v>
      </x:c>
      <x:c r="N245" s="15" t="n">
        <x:v>260009</x:v>
      </x:c>
      <x:c r="O245" s="15" t="n">
        <x:v>7289</x:v>
      </x:c>
      <x:c r="P245" s="15" t="n">
        <x:v>11902</x:v>
      </x:c>
      <x:c r="Q245" s="15" t="n">
        <x:v>2179</x:v>
      </x:c>
      <x:c r="R245" s="15" t="n">
        <x:v>22503</x:v>
      </x:c>
      <x:c r="S245" s="15" t="n">
        <x:v>2822</x:v>
      </x:c>
      <x:c r="T245" s="15" t="n">
        <x:v>32957</x:v>
      </x:c>
      <x:c r="U245" s="15" t="n">
        <x:v>3596</x:v>
      </x:c>
      <x:c r="V245" s="15" t="n">
        <x:v>30905</x:v>
      </x:c>
      <x:c r="W245" s="15" t="n">
        <x:v>3361</x:v>
      </x:c>
      <x:c r="X245" s="15" t="n">
        <x:v>29385</x:v>
      </x:c>
      <x:c r="Y245" s="15" t="n">
        <x:v>3532</x:v>
      </x:c>
      <x:c r="Z245" s="15" t="n">
        <x:v>23010</x:v>
      </x:c>
      <x:c r="AA245" s="15" t="n">
        <x:v>2820</x:v>
      </x:c>
      <x:c r="AB245" s="15" t="n">
        <x:v>17257</x:v>
      </x:c>
      <x:c r="AC245" s="15" t="n">
        <x:v>2545</x:v>
      </x:c>
      <x:c r="AD245" s="15" t="n">
        <x:v>20744</x:v>
      </x:c>
      <x:c r="AE245" s="15" t="n">
        <x:v>3053</x:v>
      </x:c>
      <x:c r="AF245" s="15" t="n">
        <x:v>58859</x:v>
      </x:c>
      <x:c r="AG245" s="15" t="n">
        <x:v>5112</x:v>
      </x:c>
      <x:c r="AH245" s="15" t="n">
        <x:v>12487</x:v>
      </x:c>
      <x:c r="AI245" s="15" t="n">
        <x:v>2204</x:v>
      </x:c>
    </x:row>
    <x:row r="246" ht="22" customHeight="1">
      <x:c r="A246" s="1" t="str">
        <x:v>310M700US33460</x:v>
      </x:c>
      <x:c r="B246" s="1" t="str">
        <x:v>33460</x:v>
      </x:c>
      <x:c r="C246" s="1" t="str">
        <x:v>Minneapolis-St. Paul-Bloomington, MN-WI Metro Area</x:v>
      </x:c>
      <x:c r="D246" s="5" t="n">
        <x:v>2024</x:v>
      </x:c>
      <x:c r="E246" s="1" t="str">
        <x:v>ok</x:v>
      </x:c>
      <x:c r="F246" s="15" t="n">
        <x:v>454732</x:v>
      </x:c>
      <x:c r="G246" s="15" t="n">
        <x:v>20249</x:v>
      </x:c>
      <x:c r="H246" s="15" t="n">
        <x:v>434483</x:v>
      </x:c>
      <x:c r="I246" s="15" t="n">
        <x:v>205833</x:v>
      </x:c>
      <x:c r="J246" s="15" t="n">
        <x:v>97141</x:v>
      </x:c>
      <x:c r="K246" s="15" t="n">
        <x:v>47.374236</x:v>
      </x:c>
      <x:c r="L246" s="15" t="n">
        <x:v>22.357837</x:v>
      </x:c>
      <x:c r="M246" s="15" t="n">
        <x:v>4.452953</x:v>
      </x:c>
      <x:c r="N246" s="15" t="n">
        <x:v>454732</x:v>
      </x:c>
      <x:c r="O246" s="15" t="n">
        <x:v>8111</x:v>
      </x:c>
      <x:c r="P246" s="15" t="n">
        <x:v>15804</x:v>
      </x:c>
      <x:c r="Q246" s="15" t="n">
        <x:v>2741</x:v>
      </x:c>
      <x:c r="R246" s="15" t="n">
        <x:v>35182</x:v>
      </x:c>
      <x:c r="S246" s="15" t="n">
        <x:v>3846</x:v>
      </x:c>
      <x:c r="T246" s="15" t="n">
        <x:v>57877</x:v>
      </x:c>
      <x:c r="U246" s="15" t="n">
        <x:v>5057</x:v>
      </x:c>
      <x:c r="V246" s="15" t="n">
        <x:v>65176</x:v>
      </x:c>
      <x:c r="W246" s="15" t="n">
        <x:v>5488</x:v>
      </x:c>
      <x:c r="X246" s="15" t="n">
        <x:v>54611</x:v>
      </x:c>
      <x:c r="Y246" s="15" t="n">
        <x:v>4407</x:v>
      </x:c>
      <x:c r="Z246" s="15" t="n">
        <x:v>42299</x:v>
      </x:c>
      <x:c r="AA246" s="15" t="n">
        <x:v>4207</x:v>
      </x:c>
      <x:c r="AB246" s="15" t="n">
        <x:v>29798</x:v>
      </x:c>
      <x:c r="AC246" s="15" t="n">
        <x:v>3798</x:v>
      </x:c>
      <x:c r="AD246" s="15" t="n">
        <x:v>36595</x:v>
      </x:c>
      <x:c r="AE246" s="15" t="n">
        <x:v>3682</x:v>
      </x:c>
      <x:c r="AF246" s="15" t="n">
        <x:v>97141</x:v>
      </x:c>
      <x:c r="AG246" s="15" t="n">
        <x:v>5586</x:v>
      </x:c>
      <x:c r="AH246" s="15" t="n">
        <x:v>20249</x:v>
      </x:c>
      <x:c r="AI246" s="15" t="n">
        <x:v>2749</x:v>
      </x:c>
    </x:row>
    <x:row r="247" ht="22" customHeight="1">
      <x:c r="A247" s="1" t="str">
        <x:v>310M700US33500</x:v>
      </x:c>
      <x:c r="B247" s="1" t="str">
        <x:v>33500</x:v>
      </x:c>
      <x:c r="C247" s="1" t="str">
        <x:v>Minot, ND Metro Area</x:v>
      </x:c>
      <x:c r="D247" s="5" t="n">
        <x:v>2024</x:v>
      </x:c>
      <x:c r="E247" s="1" t="str">
        <x:v>ok</x:v>
      </x:c>
      <x:c r="F247" s="15" t="n">
        <x:v>13566</x:v>
      </x:c>
      <x:c r="G247" s="15" t="n">
        <x:v>424</x:v>
      </x:c>
      <x:c r="H247" s="15" t="n">
        <x:v>13142</x:v>
      </x:c>
      <x:c r="I247" s="15" t="n">
        <x:v>4913</x:v>
      </x:c>
      <x:c r="J247" s="15" t="n">
        <x:v>2010</x:v>
      </x:c>
      <x:c r="K247" s="15" t="n">
        <x:v>37.38396</x:v>
      </x:c>
      <x:c r="L247" s="15" t="n">
        <x:v>15.294476</x:v>
      </x:c>
      <x:c r="M247" s="15" t="n">
        <x:v>3.125461</x:v>
      </x:c>
      <x:c r="N247" s="15" t="n">
        <x:v>13566</x:v>
      </x:c>
      <x:c r="O247" s="15" t="n">
        <x:v>1478</x:v>
      </x:c>
      <x:c r="P247" s="15" t="n">
        <x:v>290</x:v>
      </x:c>
      <x:c r="Q247" s="15" t="n">
        <x:v>284</x:v>
      </x:c>
      <x:c r="R247" s="15" t="n">
        <x:v>2123</x:v>
      </x:c>
      <x:c r="S247" s="15" t="n">
        <x:v>916</x:v>
      </x:c>
      <x:c r="T247" s="15" t="n">
        <x:v>1808</x:v>
      </x:c>
      <x:c r="U247" s="15" t="n">
        <x:v>629</x:v>
      </x:c>
      <x:c r="V247" s="15" t="n">
        <x:v>1691</x:v>
      </x:c>
      <x:c r="W247" s="15" t="n">
        <x:v>674</x:v>
      </x:c>
      <x:c r="X247" s="15" t="n">
        <x:v>2317</x:v>
      </x:c>
      <x:c r="Y247" s="15" t="n">
        <x:v>843</x:v>
      </x:c>
      <x:c r="Z247" s="15" t="n">
        <x:v>1367</x:v>
      </x:c>
      <x:c r="AA247" s="15" t="n">
        <x:v>854</x:v>
      </x:c>
      <x:c r="AB247" s="15" t="n">
        <x:v>1282</x:v>
      </x:c>
      <x:c r="AC247" s="15" t="n">
        <x:v>746</x:v>
      </x:c>
      <x:c r="AD247" s="15" t="n">
        <x:v>254</x:v>
      </x:c>
      <x:c r="AE247" s="15" t="n">
        <x:v>181</x:v>
      </x:c>
      <x:c r="AF247" s="15" t="n">
        <x:v>2010</x:v>
      </x:c>
      <x:c r="AG247" s="15" t="n">
        <x:v>926</x:v>
      </x:c>
      <x:c r="AH247" s="15" t="n">
        <x:v>424</x:v>
      </x:c>
      <x:c r="AI247" s="15" t="n">
        <x:v>204</x:v>
      </x:c>
    </x:row>
    <x:row r="248" ht="22" customHeight="1">
      <x:c r="A248" s="1" t="str">
        <x:v>310M700US33540</x:v>
      </x:c>
      <x:c r="B248" s="1" t="str">
        <x:v>33540</x:v>
      </x:c>
      <x:c r="C248" s="1" t="str">
        <x:v>Missoula, MT Metro Area</x:v>
      </x:c>
      <x:c r="D248" s="5" t="n">
        <x:v>2024</x:v>
      </x:c>
      <x:c r="E248" s="1" t="str">
        <x:v>ok</x:v>
      </x:c>
      <x:c r="F248" s="15" t="n">
        <x:v>24197</x:v>
      </x:c>
      <x:c r="G248" s="15" t="n">
        <x:v>1096</x:v>
      </x:c>
      <x:c r="H248" s="15" t="n">
        <x:v>23101</x:v>
      </x:c>
      <x:c r="I248" s="15" t="n">
        <x:v>11408</x:v>
      </x:c>
      <x:c r="J248" s="15" t="n">
        <x:v>5498</x:v>
      </x:c>
      <x:c r="K248" s="15" t="n">
        <x:v>49.383144</x:v>
      </x:c>
      <x:c r="L248" s="15" t="n">
        <x:v>23.799836</x:v>
      </x:c>
      <x:c r="M248" s="15" t="n">
        <x:v>4.529487</x:v>
      </x:c>
      <x:c r="N248" s="15" t="n">
        <x:v>24197</x:v>
      </x:c>
      <x:c r="O248" s="15" t="n">
        <x:v>1818</x:v>
      </x:c>
      <x:c r="P248" s="15" t="n">
        <x:v>530</x:v>
      </x:c>
      <x:c r="Q248" s="15" t="n">
        <x:v>452</x:v>
      </x:c>
      <x:c r="R248" s="15" t="n">
        <x:v>1663</x:v>
      </x:c>
      <x:c r="S248" s="15" t="n">
        <x:v>685</x:v>
      </x:c>
      <x:c r="T248" s="15" t="n">
        <x:v>3287</x:v>
      </x:c>
      <x:c r="U248" s="15" t="n">
        <x:v>1229</x:v>
      </x:c>
      <x:c r="V248" s="15" t="n">
        <x:v>3057</x:v>
      </x:c>
      <x:c r="W248" s="15" t="n">
        <x:v>1212</x:v>
      </x:c>
      <x:c r="X248" s="15" t="n">
        <x:v>3156</x:v>
      </x:c>
      <x:c r="Y248" s="15" t="n">
        <x:v>794</x:v>
      </x:c>
      <x:c r="Z248" s="15" t="n">
        <x:v>1879</x:v>
      </x:c>
      <x:c r="AA248" s="15" t="n">
        <x:v>843</x:v>
      </x:c>
      <x:c r="AB248" s="15" t="n">
        <x:v>1581</x:v>
      </x:c>
      <x:c r="AC248" s="15" t="n">
        <x:v>775</x:v>
      </x:c>
      <x:c r="AD248" s="15" t="n">
        <x:v>2450</x:v>
      </x:c>
      <x:c r="AE248" s="15" t="n">
        <x:v>828</x:v>
      </x:c>
      <x:c r="AF248" s="15" t="n">
        <x:v>5498</x:v>
      </x:c>
      <x:c r="AG248" s="15" t="n">
        <x:v>1206</x:v>
      </x:c>
      <x:c r="AH248" s="15" t="n">
        <x:v>1096</x:v>
      </x:c>
      <x:c r="AI248" s="15" t="n">
        <x:v>615</x:v>
      </x:c>
    </x:row>
    <x:row r="249" ht="22" customHeight="1">
      <x:c r="A249" s="1" t="str">
        <x:v>310M700US33660</x:v>
      </x:c>
      <x:c r="B249" s="1" t="str">
        <x:v>33660</x:v>
      </x:c>
      <x:c r="C249" s="1" t="str">
        <x:v>Mobile, AL Metro Area</x:v>
      </x:c>
      <x:c r="D249" s="5" t="n">
        <x:v>2024</x:v>
      </x:c>
      <x:c r="E249" s="1" t="str">
        <x:v>ok</x:v>
      </x:c>
      <x:c r="F249" s="15" t="n">
        <x:v>45533</x:v>
      </x:c>
      <x:c r="G249" s="15" t="n">
        <x:v>5884</x:v>
      </x:c>
      <x:c r="H249" s="15" t="n">
        <x:v>39649</x:v>
      </x:c>
      <x:c r="I249" s="15" t="n">
        <x:v>23298</x:v>
      </x:c>
      <x:c r="J249" s="15" t="n">
        <x:v>13041</x:v>
      </x:c>
      <x:c r="K249" s="15" t="n">
        <x:v>58.760624</x:v>
      </x:c>
      <x:c r="L249" s="15" t="n">
        <x:v>32.89112</x:v>
      </x:c>
      <x:c r="M249" s="15" t="n">
        <x:v>12.922496</x:v>
      </x:c>
      <x:c r="N249" s="15" t="n">
        <x:v>45533</x:v>
      </x:c>
      <x:c r="O249" s="15" t="n">
        <x:v>3538</x:v>
      </x:c>
      <x:c r="P249" s="15" t="n">
        <x:v>1418</x:v>
      </x:c>
      <x:c r="Q249" s="15" t="n">
        <x:v>721</x:v>
      </x:c>
      <x:c r="R249" s="15" t="n">
        <x:v>3295</x:v>
      </x:c>
      <x:c r="S249" s="15" t="n">
        <x:v>1146</x:v>
      </x:c>
      <x:c r="T249" s="15" t="n">
        <x:v>3864</x:v>
      </x:c>
      <x:c r="U249" s="15" t="n">
        <x:v>1009</x:v>
      </x:c>
      <x:c r="V249" s="15" t="n">
        <x:v>4361</x:v>
      </x:c>
      <x:c r="W249" s="15" t="n">
        <x:v>1255</x:v>
      </x:c>
      <x:c r="X249" s="15" t="n">
        <x:v>3413</x:v>
      </x:c>
      <x:c r="Y249" s="15" t="n">
        <x:v>1091</x:v>
      </x:c>
      <x:c r="Z249" s="15" t="n">
        <x:v>3114</x:v>
      </x:c>
      <x:c r="AA249" s="15" t="n">
        <x:v>1196</x:v>
      </x:c>
      <x:c r="AB249" s="15" t="n">
        <x:v>3045</x:v>
      </x:c>
      <x:c r="AC249" s="15" t="n">
        <x:v>996</x:v>
      </x:c>
      <x:c r="AD249" s="15" t="n">
        <x:v>4098</x:v>
      </x:c>
      <x:c r="AE249" s="15" t="n">
        <x:v>1297</x:v>
      </x:c>
      <x:c r="AF249" s="15" t="n">
        <x:v>13041</x:v>
      </x:c>
      <x:c r="AG249" s="15" t="n">
        <x:v>2502</x:v>
      </x:c>
      <x:c r="AH249" s="15" t="n">
        <x:v>5884</x:v>
      </x:c>
      <x:c r="AI249" s="15" t="n">
        <x:v>1388</x:v>
      </x:c>
    </x:row>
    <x:row r="250" ht="22" customHeight="1">
      <x:c r="A250" s="1" t="str">
        <x:v>310M700US33700</x:v>
      </x:c>
      <x:c r="B250" s="1" t="str">
        <x:v>33700</x:v>
      </x:c>
      <x:c r="C250" s="1" t="str">
        <x:v>Modesto, CA Metro Area</x:v>
      </x:c>
      <x:c r="D250" s="5" t="n">
        <x:v>2024</x:v>
      </x:c>
      <x:c r="E250" s="1" t="str">
        <x:v>ok</x:v>
      </x:c>
      <x:c r="F250" s="15" t="n">
        <x:v>69242</x:v>
      </x:c>
      <x:c r="G250" s="15" t="n">
        <x:v>6142</x:v>
      </x:c>
      <x:c r="H250" s="15" t="n">
        <x:v>63100</x:v>
      </x:c>
      <x:c r="I250" s="15" t="n">
        <x:v>38935</x:v>
      </x:c>
      <x:c r="J250" s="15" t="n">
        <x:v>18395</x:v>
      </x:c>
      <x:c r="K250" s="15" t="n">
        <x:v>61.703645</x:v>
      </x:c>
      <x:c r="L250" s="15" t="n">
        <x:v>29.152139</x:v>
      </x:c>
      <x:c r="M250" s="15" t="n">
        <x:v>8.870339</x:v>
      </x:c>
      <x:c r="N250" s="15" t="n">
        <x:v>69242</x:v>
      </x:c>
      <x:c r="O250" s="15" t="n">
        <x:v>3573</x:v>
      </x:c>
      <x:c r="P250" s="15" t="n">
        <x:v>1759</x:v>
      </x:c>
      <x:c r="Q250" s="15" t="n">
        <x:v>819</x:v>
      </x:c>
      <x:c r="R250" s="15" t="n">
        <x:v>3908</x:v>
      </x:c>
      <x:c r="S250" s="15" t="n">
        <x:v>1179</x:v>
      </x:c>
      <x:c r="T250" s="15" t="n">
        <x:v>5429</x:v>
      </x:c>
      <x:c r="U250" s="15" t="n">
        <x:v>1444</x:v>
      </x:c>
      <x:c r="V250" s="15" t="n">
        <x:v>7190</x:v>
      </x:c>
      <x:c r="W250" s="15" t="n">
        <x:v>1742</x:v>
      </x:c>
      <x:c r="X250" s="15" t="n">
        <x:v>5879</x:v>
      </x:c>
      <x:c r="Y250" s="15" t="n">
        <x:v>1455</x:v>
      </x:c>
      <x:c r="Z250" s="15" t="n">
        <x:v>6784</x:v>
      </x:c>
      <x:c r="AA250" s="15" t="n">
        <x:v>1457</x:v>
      </x:c>
      <x:c r="AB250" s="15" t="n">
        <x:v>5525</x:v>
      </x:c>
      <x:c r="AC250" s="15" t="n">
        <x:v>1555</x:v>
      </x:c>
      <x:c r="AD250" s="15" t="n">
        <x:v>8231</x:v>
      </x:c>
      <x:c r="AE250" s="15" t="n">
        <x:v>2015</x:v>
      </x:c>
      <x:c r="AF250" s="15" t="n">
        <x:v>18395</x:v>
      </x:c>
      <x:c r="AG250" s="15" t="n">
        <x:v>2697</x:v>
      </x:c>
      <x:c r="AH250" s="15" t="n">
        <x:v>6142</x:v>
      </x:c>
      <x:c r="AI250" s="15" t="n">
        <x:v>1738</x:v>
      </x:c>
    </x:row>
    <x:row r="251" ht="22" customHeight="1">
      <x:c r="A251" s="1" t="str">
        <x:v>310M700US33740</x:v>
      </x:c>
      <x:c r="B251" s="1" t="str">
        <x:v>33740</x:v>
      </x:c>
      <x:c r="C251" s="1" t="str">
        <x:v>Monroe, LA Metro Area</x:v>
      </x:c>
      <x:c r="D251" s="5" t="n">
        <x:v>2024</x:v>
      </x:c>
      <x:c r="E251" s="1" t="str">
        <x:v>ok</x:v>
      </x:c>
      <x:c r="F251" s="15" t="n">
        <x:v>28345</x:v>
      </x:c>
      <x:c r="G251" s="15" t="n">
        <x:v>3482</x:v>
      </x:c>
      <x:c r="H251" s="15" t="n">
        <x:v>24863</x:v>
      </x:c>
      <x:c r="I251" s="15" t="n">
        <x:v>11895</x:v>
      </x:c>
      <x:c r="J251" s="15" t="n">
        <x:v>6575</x:v>
      </x:c>
      <x:c r="K251" s="15" t="n">
        <x:v>47.842175</x:v>
      </x:c>
      <x:c r="L251" s="15" t="n">
        <x:v>26.444918</x:v>
      </x:c>
      <x:c r="M251" s="15" t="n">
        <x:v>12.284354</x:v>
      </x:c>
      <x:c r="N251" s="15" t="n">
        <x:v>28345</x:v>
      </x:c>
      <x:c r="O251" s="15" t="n">
        <x:v>2618</x:v>
      </x:c>
      <x:c r="P251" s="15" t="n">
        <x:v>1440</x:v>
      </x:c>
      <x:c r="Q251" s="15" t="n">
        <x:v>923</x:v>
      </x:c>
      <x:c r="R251" s="15" t="n">
        <x:v>2244</x:v>
      </x:c>
      <x:c r="S251" s="15" t="n">
        <x:v>983</x:v>
      </x:c>
      <x:c r="T251" s="15" t="n">
        <x:v>3803</x:v>
      </x:c>
      <x:c r="U251" s="15" t="n">
        <x:v>1686</x:v>
      </x:c>
      <x:c r="V251" s="15" t="n">
        <x:v>2773</x:v>
      </x:c>
      <x:c r="W251" s="15" t="n">
        <x:v>1000</x:v>
      </x:c>
      <x:c r="X251" s="15" t="n">
        <x:v>2708</x:v>
      </x:c>
      <x:c r="Y251" s="15" t="n">
        <x:v>1021</x:v>
      </x:c>
      <x:c r="Z251" s="15" t="n">
        <x:v>1759</x:v>
      </x:c>
      <x:c r="AA251" s="15" t="n">
        <x:v>663</x:v>
      </x:c>
      <x:c r="AB251" s="15" t="n">
        <x:v>929</x:v>
      </x:c>
      <x:c r="AC251" s="15" t="n">
        <x:v>509</x:v>
      </x:c>
      <x:c r="AD251" s="15" t="n">
        <x:v>2632</x:v>
      </x:c>
      <x:c r="AE251" s="15" t="n">
        <x:v>1078</x:v>
      </x:c>
      <x:c r="AF251" s="15" t="n">
        <x:v>6575</x:v>
      </x:c>
      <x:c r="AG251" s="15" t="n">
        <x:v>1535</x:v>
      </x:c>
      <x:c r="AH251" s="15" t="n">
        <x:v>3482</x:v>
      </x:c>
      <x:c r="AI251" s="15" t="n">
        <x:v>1056</x:v>
      </x:c>
    </x:row>
    <x:row r="252" ht="22" customHeight="1">
      <x:c r="A252" s="1" t="str">
        <x:v>310M700US33780</x:v>
      </x:c>
      <x:c r="B252" s="1" t="str">
        <x:v>33780</x:v>
      </x:c>
      <x:c r="C252" s="1" t="str">
        <x:v>Monroe, MI Metro Area</x:v>
      </x:c>
      <x:c r="D252" s="5" t="n">
        <x:v>2024</x:v>
      </x:c>
      <x:c r="E252" s="1" t="str">
        <x:v>ok</x:v>
      </x:c>
      <x:c r="F252" s="15" t="n">
        <x:v>10949</x:v>
      </x:c>
      <x:c r="G252" s="15" t="n">
        <x:v>945</x:v>
      </x:c>
      <x:c r="H252" s="15" t="n">
        <x:v>10004</x:v>
      </x:c>
      <x:c r="I252" s="15" t="n">
        <x:v>4441</x:v>
      </x:c>
      <x:c r="J252" s="15" t="n">
        <x:v>2625</x:v>
      </x:c>
      <x:c r="K252" s="15" t="n">
        <x:v>44.392243</x:v>
      </x:c>
      <x:c r="L252" s="15" t="n">
        <x:v>26.239504</x:v>
      </x:c>
      <x:c r="M252" s="15" t="n">
        <x:v>8.630925</x:v>
      </x:c>
      <x:c r="N252" s="15" t="n">
        <x:v>10949</x:v>
      </x:c>
      <x:c r="O252" s="15" t="n">
        <x:v>1581</x:v>
      </x:c>
      <x:c r="P252" s="15" t="n">
        <x:v>298</x:v>
      </x:c>
      <x:c r="Q252" s="15" t="n">
        <x:v>287</x:v>
      </x:c>
      <x:c r="R252" s="15" t="n">
        <x:v>1167</x:v>
      </x:c>
      <x:c r="S252" s="15" t="n">
        <x:v>666</x:v>
      </x:c>
      <x:c r="T252" s="15" t="n">
        <x:v>1421</x:v>
      </x:c>
      <x:c r="U252" s="15" t="n">
        <x:v>701</x:v>
      </x:c>
      <x:c r="V252" s="15" t="n">
        <x:v>1672</x:v>
      </x:c>
      <x:c r="W252" s="15" t="n">
        <x:v>875</x:v>
      </x:c>
      <x:c r="X252" s="15" t="n">
        <x:v>1005</x:v>
      </x:c>
      <x:c r="Y252" s="15" t="n">
        <x:v>497</x:v>
      </x:c>
      <x:c r="Z252" s="15" t="n">
        <x:v>886</x:v>
      </x:c>
      <x:c r="AA252" s="15" t="n">
        <x:v>701</x:v>
      </x:c>
      <x:c r="AB252" s="15" t="n">
        <x:v>352</x:v>
      </x:c>
      <x:c r="AC252" s="15" t="n">
        <x:v>387</x:v>
      </x:c>
      <x:c r="AD252" s="15" t="n">
        <x:v>578</x:v>
      </x:c>
      <x:c r="AE252" s="15" t="n">
        <x:v>334</x:v>
      </x:c>
      <x:c r="AF252" s="15" t="n">
        <x:v>2625</x:v>
      </x:c>
      <x:c r="AG252" s="15" t="n">
        <x:v>817</x:v>
      </x:c>
      <x:c r="AH252" s="15" t="n">
        <x:v>945</x:v>
      </x:c>
      <x:c r="AI252" s="15" t="n">
        <x:v>595</x:v>
      </x:c>
    </x:row>
    <x:row r="253" ht="22" customHeight="1">
      <x:c r="A253" s="1" t="str">
        <x:v>310M700US33860</x:v>
      </x:c>
      <x:c r="B253" s="1" t="str">
        <x:v>33860</x:v>
      </x:c>
      <x:c r="C253" s="1" t="str">
        <x:v>Montgomery, AL Metro Area</x:v>
      </x:c>
      <x:c r="D253" s="5" t="n">
        <x:v>2024</x:v>
      </x:c>
      <x:c r="E253" s="1" t="str">
        <x:v>ok</x:v>
      </x:c>
      <x:c r="F253" s="15" t="n">
        <x:v>51571</x:v>
      </x:c>
      <x:c r="G253" s="15" t="n">
        <x:v>5612</x:v>
      </x:c>
      <x:c r="H253" s="15" t="n">
        <x:v>45959</x:v>
      </x:c>
      <x:c r="I253" s="15" t="n">
        <x:v>25477</x:v>
      </x:c>
      <x:c r="J253" s="15" t="n">
        <x:v>13470</x:v>
      </x:c>
      <x:c r="K253" s="15" t="n">
        <x:v>55.434191</x:v>
      </x:c>
      <x:c r="L253" s="15" t="n">
        <x:v>29.308732</x:v>
      </x:c>
      <x:c r="M253" s="15" t="n">
        <x:v>10.882085</x:v>
      </x:c>
      <x:c r="N253" s="15" t="n">
        <x:v>51571</x:v>
      </x:c>
      <x:c r="O253" s="15" t="n">
        <x:v>3676</x:v>
      </x:c>
      <x:c r="P253" s="15" t="n">
        <x:v>1819</x:v>
      </x:c>
      <x:c r="Q253" s="15" t="n">
        <x:v>1069</x:v>
      </x:c>
      <x:c r="R253" s="15" t="n">
        <x:v>4582</x:v>
      </x:c>
      <x:c r="S253" s="15" t="n">
        <x:v>1501</x:v>
      </x:c>
      <x:c r="T253" s="15" t="n">
        <x:v>5898</x:v>
      </x:c>
      <x:c r="U253" s="15" t="n">
        <x:v>1906</x:v>
      </x:c>
      <x:c r="V253" s="15" t="n">
        <x:v>5321</x:v>
      </x:c>
      <x:c r="W253" s="15" t="n">
        <x:v>1637</x:v>
      </x:c>
      <x:c r="X253" s="15" t="n">
        <x:v>2862</x:v>
      </x:c>
      <x:c r="Y253" s="15" t="n">
        <x:v>995</x:v>
      </x:c>
      <x:c r="Z253" s="15" t="n">
        <x:v>3756</x:v>
      </x:c>
      <x:c r="AA253" s="15" t="n">
        <x:v>1441</x:v>
      </x:c>
      <x:c r="AB253" s="15" t="n">
        <x:v>3265</x:v>
      </x:c>
      <x:c r="AC253" s="15" t="n">
        <x:v>1451</x:v>
      </x:c>
      <x:c r="AD253" s="15" t="n">
        <x:v>4986</x:v>
      </x:c>
      <x:c r="AE253" s="15" t="n">
        <x:v>2280</x:v>
      </x:c>
      <x:c r="AF253" s="15" t="n">
        <x:v>13470</x:v>
      </x:c>
      <x:c r="AG253" s="15" t="n">
        <x:v>2391</x:v>
      </x:c>
      <x:c r="AH253" s="15" t="n">
        <x:v>5612</x:v>
      </x:c>
      <x:c r="AI253" s="15" t="n">
        <x:v>1880</x:v>
      </x:c>
    </x:row>
    <x:row r="254" ht="22" customHeight="1">
      <x:c r="A254" s="1" t="str">
        <x:v>310M700US34060</x:v>
      </x:c>
      <x:c r="B254" s="1" t="str">
        <x:v>34060</x:v>
      </x:c>
      <x:c r="C254" s="1" t="str">
        <x:v>Morgantown, WV Metro Area</x:v>
      </x:c>
      <x:c r="D254" s="5" t="n">
        <x:v>2024</x:v>
      </x:c>
      <x:c r="E254" s="1" t="str">
        <x:v>ok</x:v>
      </x:c>
      <x:c r="F254" s="15" t="n">
        <x:v>21254</x:v>
      </x:c>
      <x:c r="G254" s="15" t="n">
        <x:v>3168</x:v>
      </x:c>
      <x:c r="H254" s="15" t="n">
        <x:v>18086</x:v>
      </x:c>
      <x:c r="I254" s="15" t="n">
        <x:v>9497</x:v>
      </x:c>
      <x:c r="J254" s="15" t="n">
        <x:v>5141</x:v>
      </x:c>
      <x:c r="K254" s="15" t="n">
        <x:v>52.510229</x:v>
      </x:c>
      <x:c r="L254" s="15" t="n">
        <x:v>28.425301</x:v>
      </x:c>
      <x:c r="M254" s="15" t="n">
        <x:v>14.90543</x:v>
      </x:c>
      <x:c r="N254" s="15" t="n">
        <x:v>21254</x:v>
      </x:c>
      <x:c r="O254" s="15" t="n">
        <x:v>1630</x:v>
      </x:c>
      <x:c r="P254" s="15" t="n">
        <x:v>851</x:v>
      </x:c>
      <x:c r="Q254" s="15" t="n">
        <x:v>517</x:v>
      </x:c>
      <x:c r="R254" s="15" t="n">
        <x:v>1704</x:v>
      </x:c>
      <x:c r="S254" s="15" t="n">
        <x:v>724</x:v>
      </x:c>
      <x:c r="T254" s="15" t="n">
        <x:v>2898</x:v>
      </x:c>
      <x:c r="U254" s="15" t="n">
        <x:v>840</x:v>
      </x:c>
      <x:c r="V254" s="15" t="n">
        <x:v>1666</x:v>
      </x:c>
      <x:c r="W254" s="15" t="n">
        <x:v>698</x:v>
      </x:c>
      <x:c r="X254" s="15" t="n">
        <x:v>1470</x:v>
      </x:c>
      <x:c r="Y254" s="15" t="n">
        <x:v>618</x:v>
      </x:c>
      <x:c r="Z254" s="15" t="n">
        <x:v>1444</x:v>
      </x:c>
      <x:c r="AA254" s="15" t="n">
        <x:v>758</x:v>
      </x:c>
      <x:c r="AB254" s="15" t="n">
        <x:v>683</x:v>
      </x:c>
      <x:c r="AC254" s="15" t="n">
        <x:v>467</x:v>
      </x:c>
      <x:c r="AD254" s="15" t="n">
        <x:v>2229</x:v>
      </x:c>
      <x:c r="AE254" s="15" t="n">
        <x:v>772</x:v>
      </x:c>
      <x:c r="AF254" s="15" t="n">
        <x:v>5141</x:v>
      </x:c>
      <x:c r="AG254" s="15" t="n">
        <x:v>1222</x:v>
      </x:c>
      <x:c r="AH254" s="15" t="n">
        <x:v>3168</x:v>
      </x:c>
      <x:c r="AI254" s="15" t="n">
        <x:v>890</x:v>
      </x:c>
    </x:row>
    <x:row r="255" ht="22" customHeight="1">
      <x:c r="A255" s="1" t="str">
        <x:v>310M700US34100</x:v>
      </x:c>
      <x:c r="B255" s="1" t="str">
        <x:v>34100</x:v>
      </x:c>
      <x:c r="C255" s="1" t="str">
        <x:v>Morristown, TN Metro Area</x:v>
      </x:c>
      <x:c r="D255" s="5" t="n">
        <x:v>2024</x:v>
      </x:c>
      <x:c r="E255" s="1" t="str">
        <x:v>ok</x:v>
      </x:c>
      <x:c r="F255" s="15" t="n">
        <x:v>12326</x:v>
      </x:c>
      <x:c r="G255" s="15" t="n">
        <x:v>960</x:v>
      </x:c>
      <x:c r="H255" s="15" t="n">
        <x:v>11366</x:v>
      </x:c>
      <x:c r="I255" s="15" t="n">
        <x:v>4393</x:v>
      </x:c>
      <x:c r="J255" s="15" t="n">
        <x:v>1713</x:v>
      </x:c>
      <x:c r="K255" s="15" t="n">
        <x:v>38.650361</x:v>
      </x:c>
      <x:c r="L255" s="15" t="n">
        <x:v>15.071265</x:v>
      </x:c>
      <x:c r="M255" s="15" t="n">
        <x:v>7.788415</x:v>
      </x:c>
      <x:c r="N255" s="15" t="n">
        <x:v>12326</x:v>
      </x:c>
      <x:c r="O255" s="15" t="n">
        <x:v>1927</x:v>
      </x:c>
      <x:c r="P255" s="15" t="n">
        <x:v>1224</x:v>
      </x:c>
      <x:c r="Q255" s="15" t="n">
        <x:v>733</x:v>
      </x:c>
      <x:c r="R255" s="15" t="n">
        <x:v>1295</x:v>
      </x:c>
      <x:c r="S255" s="15" t="n">
        <x:v>769</x:v>
      </x:c>
      <x:c r="T255" s="15" t="n">
        <x:v>1739</x:v>
      </x:c>
      <x:c r="U255" s="15" t="n">
        <x:v>903</x:v>
      </x:c>
      <x:c r="V255" s="15" t="n">
        <x:v>1697</x:v>
      </x:c>
      <x:c r="W255" s="15" t="n">
        <x:v>660</x:v>
      </x:c>
      <x:c r="X255" s="15" t="n">
        <x:v>1018</x:v>
      </x:c>
      <x:c r="Y255" s="15" t="n">
        <x:v>574</x:v>
      </x:c>
      <x:c r="Z255" s="15" t="n">
        <x:v>1202</x:v>
      </x:c>
      <x:c r="AA255" s="15" t="n">
        <x:v>666</x:v>
      </x:c>
      <x:c r="AB255" s="15" t="n">
        <x:v>551</x:v>
      </x:c>
      <x:c r="AC255" s="15" t="n">
        <x:v>453</x:v>
      </x:c>
      <x:c r="AD255" s="15" t="n">
        <x:v>927</x:v>
      </x:c>
      <x:c r="AE255" s="15" t="n">
        <x:v>704</x:v>
      </x:c>
      <x:c r="AF255" s="15" t="n">
        <x:v>1713</x:v>
      </x:c>
      <x:c r="AG255" s="15" t="n">
        <x:v>986</x:v>
      </x:c>
      <x:c r="AH255" s="15" t="n">
        <x:v>960</x:v>
      </x:c>
      <x:c r="AI255" s="15" t="n">
        <x:v>561</x:v>
      </x:c>
    </x:row>
    <x:row r="256" ht="22" customHeight="1">
      <x:c r="A256" s="1" t="str">
        <x:v>310M700US34580</x:v>
      </x:c>
      <x:c r="B256" s="1" t="str">
        <x:v>34580</x:v>
      </x:c>
      <x:c r="C256" s="1" t="str">
        <x:v>Mount Vernon-Anacortes, WA Metro Area</x:v>
      </x:c>
      <x:c r="D256" s="5" t="n">
        <x:v>2024</x:v>
      </x:c>
      <x:c r="E256" s="1" t="str">
        <x:v>ok</x:v>
      </x:c>
      <x:c r="F256" s="15" t="n">
        <x:v>17711</x:v>
      </x:c>
      <x:c r="G256" s="15" t="n">
        <x:v>1306</x:v>
      </x:c>
      <x:c r="H256" s="15" t="n">
        <x:v>16405</x:v>
      </x:c>
      <x:c r="I256" s="15" t="n">
        <x:v>7638</x:v>
      </x:c>
      <x:c r="J256" s="15" t="n">
        <x:v>2678</x:v>
      </x:c>
      <x:c r="K256" s="15" t="n">
        <x:v>46.558976</x:v>
      </x:c>
      <x:c r="L256" s="15" t="n">
        <x:v>16.324291</x:v>
      </x:c>
      <x:c r="M256" s="15" t="n">
        <x:v>7.373948</x:v>
      </x:c>
      <x:c r="N256" s="15" t="n">
        <x:v>17711</x:v>
      </x:c>
      <x:c r="O256" s="15" t="n">
        <x:v>1775</x:v>
      </x:c>
      <x:c r="P256" s="15" t="n">
        <x:v>1012</x:v>
      </x:c>
      <x:c r="Q256" s="15" t="n">
        <x:v>546</x:v>
      </x:c>
      <x:c r="R256" s="15" t="n">
        <x:v>1485</x:v>
      </x:c>
      <x:c r="S256" s="15" t="n">
        <x:v>735</x:v>
      </x:c>
      <x:c r="T256" s="15" t="n">
        <x:v>2631</x:v>
      </x:c>
      <x:c r="U256" s="15" t="n">
        <x:v>870</x:v>
      </x:c>
      <x:c r="V256" s="15" t="n">
        <x:v>1704</x:v>
      </x:c>
      <x:c r="W256" s="15" t="n">
        <x:v>705</x:v>
      </x:c>
      <x:c r="X256" s="15" t="n">
        <x:v>1935</x:v>
      </x:c>
      <x:c r="Y256" s="15" t="n">
        <x:v>863</x:v>
      </x:c>
      <x:c r="Z256" s="15" t="n">
        <x:v>2177</x:v>
      </x:c>
      <x:c r="AA256" s="15" t="n">
        <x:v>964</x:v>
      </x:c>
      <x:c r="AB256" s="15" t="n">
        <x:v>1309</x:v>
      </x:c>
      <x:c r="AC256" s="15" t="n">
        <x:v>631</x:v>
      </x:c>
      <x:c r="AD256" s="15" t="n">
        <x:v>1474</x:v>
      </x:c>
      <x:c r="AE256" s="15" t="n">
        <x:v>650</x:v>
      </x:c>
      <x:c r="AF256" s="15" t="n">
        <x:v>2678</x:v>
      </x:c>
      <x:c r="AG256" s="15" t="n">
        <x:v>789</x:v>
      </x:c>
      <x:c r="AH256" s="15" t="n">
        <x:v>1306</x:v>
      </x:c>
      <x:c r="AI256" s="15" t="n">
        <x:v>631</x:v>
      </x:c>
    </x:row>
    <x:row r="257" ht="22" customHeight="1">
      <x:c r="A257" s="1" t="str">
        <x:v>310M700US34620</x:v>
      </x:c>
      <x:c r="B257" s="1" t="str">
        <x:v>34620</x:v>
      </x:c>
      <x:c r="C257" s="1" t="str">
        <x:v>Muncie, IN Metro Area</x:v>
      </x:c>
      <x:c r="D257" s="5" t="n">
        <x:v>2024</x:v>
      </x:c>
      <x:c r="E257" s="1" t="str">
        <x:v>ok</x:v>
      </x:c>
      <x:c r="F257" s="15" t="n">
        <x:v>17804</x:v>
      </x:c>
      <x:c r="G257" s="15" t="n">
        <x:v>2031</x:v>
      </x:c>
      <x:c r="H257" s="15" t="n">
        <x:v>15773</x:v>
      </x:c>
      <x:c r="I257" s="15" t="n">
        <x:v>7525</x:v>
      </x:c>
      <x:c r="J257" s="15" t="n">
        <x:v>4518</x:v>
      </x:c>
      <x:c r="K257" s="15" t="n">
        <x:v>47.708109</x:v>
      </x:c>
      <x:c r="L257" s="15" t="n">
        <x:v>28.643885</x:v>
      </x:c>
      <x:c r="M257" s="15" t="n">
        <x:v>11.407549</x:v>
      </x:c>
      <x:c r="N257" s="15" t="n">
        <x:v>17804</x:v>
      </x:c>
      <x:c r="O257" s="15" t="n">
        <x:v>1776</x:v>
      </x:c>
      <x:c r="P257" s="15" t="n">
        <x:v>446</x:v>
      </x:c>
      <x:c r="Q257" s="15" t="n">
        <x:v>313</x:v>
      </x:c>
      <x:c r="R257" s="15" t="n">
        <x:v>2268</x:v>
      </x:c>
      <x:c r="S257" s="15" t="n">
        <x:v>972</x:v>
      </x:c>
      <x:c r="T257" s="15" t="n">
        <x:v>1472</x:v>
      </x:c>
      <x:c r="U257" s="15" t="n">
        <x:v>588</x:v>
      </x:c>
      <x:c r="V257" s="15" t="n">
        <x:v>2547</x:v>
      </x:c>
      <x:c r="W257" s="15" t="n">
        <x:v>995</x:v>
      </x:c>
      <x:c r="X257" s="15" t="n">
        <x:v>1515</x:v>
      </x:c>
      <x:c r="Y257" s="15" t="n">
        <x:v>731</x:v>
      </x:c>
      <x:c r="Z257" s="15" t="n">
        <x:v>715</x:v>
      </x:c>
      <x:c r="AA257" s="15" t="n">
        <x:v>440</x:v>
      </x:c>
      <x:c r="AB257" s="15" t="n">
        <x:v>974</x:v>
      </x:c>
      <x:c r="AC257" s="15" t="n">
        <x:v>633</x:v>
      </x:c>
      <x:c r="AD257" s="15" t="n">
        <x:v>1318</x:v>
      </x:c>
      <x:c r="AE257" s="15" t="n">
        <x:v>613</x:v>
      </x:c>
      <x:c r="AF257" s="15" t="n">
        <x:v>4518</x:v>
      </x:c>
      <x:c r="AG257" s="15" t="n">
        <x:v>1373</x:v>
      </x:c>
      <x:c r="AH257" s="15" t="n">
        <x:v>2031</x:v>
      </x:c>
      <x:c r="AI257" s="15" t="n">
        <x:v>918</x:v>
      </x:c>
    </x:row>
    <x:row r="258" ht="22" customHeight="1">
      <x:c r="A258" s="1" t="str">
        <x:v>310M700US34740</x:v>
      </x:c>
      <x:c r="B258" s="1" t="str">
        <x:v>34740</x:v>
      </x:c>
      <x:c r="C258" s="1" t="str">
        <x:v>Muskegon-Norton Shores, MI Metro Area</x:v>
      </x:c>
      <x:c r="D258" s="5" t="n">
        <x:v>2024</x:v>
      </x:c>
      <x:c r="E258" s="1" t="str">
        <x:v>ok</x:v>
      </x:c>
      <x:c r="F258" s="15" t="n">
        <x:v>17023</x:v>
      </x:c>
      <x:c r="G258" s="15" t="n">
        <x:v>952</x:v>
      </x:c>
      <x:c r="H258" s="15" t="n">
        <x:v>16071</x:v>
      </x:c>
      <x:c r="I258" s="15" t="n">
        <x:v>9207</x:v>
      </x:c>
      <x:c r="J258" s="15" t="n">
        <x:v>5952</x:v>
      </x:c>
      <x:c r="K258" s="15" t="n">
        <x:v>57.289528</x:v>
      </x:c>
      <x:c r="L258" s="15" t="n">
        <x:v>37.035654</x:v>
      </x:c>
      <x:c r="M258" s="15" t="n">
        <x:v>5.592434</x:v>
      </x:c>
      <x:c r="N258" s="15" t="n">
        <x:v>17023</x:v>
      </x:c>
      <x:c r="O258" s="15" t="n">
        <x:v>1582</x:v>
      </x:c>
      <x:c r="P258" s="15" t="n">
        <x:v>111</x:v>
      </x:c>
      <x:c r="Q258" s="15" t="n">
        <x:v>117</x:v>
      </x:c>
      <x:c r="R258" s="15" t="n">
        <x:v>967</x:v>
      </x:c>
      <x:c r="S258" s="15" t="n">
        <x:v>590</x:v>
      </x:c>
      <x:c r="T258" s="15" t="n">
        <x:v>1580</x:v>
      </x:c>
      <x:c r="U258" s="15" t="n">
        <x:v>803</x:v>
      </x:c>
      <x:c r="V258" s="15" t="n">
        <x:v>1848</x:v>
      </x:c>
      <x:c r="W258" s="15" t="n">
        <x:v>872</x:v>
      </x:c>
      <x:c r="X258" s="15" t="n">
        <x:v>2358</x:v>
      </x:c>
      <x:c r="Y258" s="15" t="n">
        <x:v>906</x:v>
      </x:c>
      <x:c r="Z258" s="15" t="n">
        <x:v>1039</x:v>
      </x:c>
      <x:c r="AA258" s="15" t="n">
        <x:v>547</x:v>
      </x:c>
      <x:c r="AB258" s="15" t="n">
        <x:v>1266</x:v>
      </x:c>
      <x:c r="AC258" s="15" t="n">
        <x:v>829</x:v>
      </x:c>
      <x:c r="AD258" s="15" t="n">
        <x:v>950</x:v>
      </x:c>
      <x:c r="AE258" s="15" t="n">
        <x:v>614</x:v>
      </x:c>
      <x:c r="AF258" s="15" t="n">
        <x:v>5952</x:v>
      </x:c>
      <x:c r="AG258" s="15" t="n">
        <x:v>1555</x:v>
      </x:c>
      <x:c r="AH258" s="15" t="n">
        <x:v>952</x:v>
      </x:c>
      <x:c r="AI258" s="15" t="n">
        <x:v>441</x:v>
      </x:c>
    </x:row>
    <x:row r="259" ht="22" customHeight="1">
      <x:c r="A259" s="1" t="str">
        <x:v>310M700US34820</x:v>
      </x:c>
      <x:c r="B259" s="1" t="str">
        <x:v>34820</x:v>
      </x:c>
      <x:c r="C259" s="1" t="str">
        <x:v>Myrtle Beach-Conway-North Myrtle Beach, SC Metro Area</x:v>
      </x:c>
      <x:c r="D259" s="5" t="n">
        <x:v>2024</x:v>
      </x:c>
      <x:c r="E259" s="1" t="str">
        <x:v>ok</x:v>
      </x:c>
      <x:c r="F259" s="15" t="n">
        <x:v>35419</x:v>
      </x:c>
      <x:c r="G259" s="15" t="n">
        <x:v>2457</x:v>
      </x:c>
      <x:c r="H259" s="15" t="n">
        <x:v>32962</x:v>
      </x:c>
      <x:c r="I259" s="15" t="n">
        <x:v>17700</x:v>
      </x:c>
      <x:c r="J259" s="15" t="n">
        <x:v>9048</x:v>
      </x:c>
      <x:c r="K259" s="15" t="n">
        <x:v>53.698198</x:v>
      </x:c>
      <x:c r="L259" s="15" t="n">
        <x:v>27.449791</x:v>
      </x:c>
      <x:c r="M259" s="15" t="n">
        <x:v>6.936955</x:v>
      </x:c>
      <x:c r="N259" s="15" t="n">
        <x:v>35419</x:v>
      </x:c>
      <x:c r="O259" s="15" t="n">
        <x:v>3772</x:v>
      </x:c>
      <x:c r="P259" s="15" t="n">
        <x:v>1108</x:v>
      </x:c>
      <x:c r="Q259" s="15" t="n">
        <x:v>780</x:v>
      </x:c>
      <x:c r="R259" s="15" t="n">
        <x:v>2564</x:v>
      </x:c>
      <x:c r="S259" s="15" t="n">
        <x:v>1311</x:v>
      </x:c>
      <x:c r="T259" s="15" t="n">
        <x:v>2536</x:v>
      </x:c>
      <x:c r="U259" s="15" t="n">
        <x:v>934</x:v>
      </x:c>
      <x:c r="V259" s="15" t="n">
        <x:v>5135</x:v>
      </x:c>
      <x:c r="W259" s="15" t="n">
        <x:v>1664</x:v>
      </x:c>
      <x:c r="X259" s="15" t="n">
        <x:v>3919</x:v>
      </x:c>
      <x:c r="Y259" s="15" t="n">
        <x:v>1259</x:v>
      </x:c>
      <x:c r="Z259" s="15" t="n">
        <x:v>2489</x:v>
      </x:c>
      <x:c r="AA259" s="15" t="n">
        <x:v>1005</x:v>
      </x:c>
      <x:c r="AB259" s="15" t="n">
        <x:v>3572</x:v>
      </x:c>
      <x:c r="AC259" s="15" t="n">
        <x:v>1740</x:v>
      </x:c>
      <x:c r="AD259" s="15" t="n">
        <x:v>2591</x:v>
      </x:c>
      <x:c r="AE259" s="15" t="n">
        <x:v>1123</x:v>
      </x:c>
      <x:c r="AF259" s="15" t="n">
        <x:v>9048</x:v>
      </x:c>
      <x:c r="AG259" s="15" t="n">
        <x:v>2076</x:v>
      </x:c>
      <x:c r="AH259" s="15" t="n">
        <x:v>2457</x:v>
      </x:c>
      <x:c r="AI259" s="15" t="n">
        <x:v>874</x:v>
      </x:c>
    </x:row>
    <x:row r="260" ht="22" customHeight="1">
      <x:c r="A260" s="1" t="str">
        <x:v>310M700US34900</x:v>
      </x:c>
      <x:c r="B260" s="1" t="str">
        <x:v>34900</x:v>
      </x:c>
      <x:c r="C260" s="1" t="str">
        <x:v>Napa, CA Metro Area</x:v>
      </x:c>
      <x:c r="D260" s="5" t="n">
        <x:v>2024</x:v>
      </x:c>
      <x:c r="E260" s="1" t="str">
        <x:v>ok</x:v>
      </x:c>
      <x:c r="F260" s="15" t="n">
        <x:v>17605</x:v>
      </x:c>
      <x:c r="G260" s="15" t="n">
        <x:v>699</x:v>
      </x:c>
      <x:c r="H260" s="15" t="n">
        <x:v>16906</x:v>
      </x:c>
      <x:c r="I260" s="15" t="n">
        <x:v>9174</x:v>
      </x:c>
      <x:c r="J260" s="15" t="n">
        <x:v>4669</x:v>
      </x:c>
      <x:c r="K260" s="15" t="n">
        <x:v>54.264758</x:v>
      </x:c>
      <x:c r="L260" s="15" t="n">
        <x:v>27.617414</x:v>
      </x:c>
      <x:c r="M260" s="15" t="n">
        <x:v>3.970463</x:v>
      </x:c>
      <x:c r="N260" s="15" t="n">
        <x:v>17605</x:v>
      </x:c>
      <x:c r="O260" s="15" t="n">
        <x:v>1893</x:v>
      </x:c>
      <x:c r="P260" s="15" t="n">
        <x:v>724</x:v>
      </x:c>
      <x:c r="Q260" s="15" t="n">
        <x:v>438</x:v>
      </x:c>
      <x:c r="R260" s="15" t="n">
        <x:v>804</x:v>
      </x:c>
      <x:c r="S260" s="15" t="n">
        <x:v>427</x:v>
      </x:c>
      <x:c r="T260" s="15" t="n">
        <x:v>2246</x:v>
      </x:c>
      <x:c r="U260" s="15" t="n">
        <x:v>893</x:v>
      </x:c>
      <x:c r="V260" s="15" t="n">
        <x:v>2246</x:v>
      </x:c>
      <x:c r="W260" s="15" t="n">
        <x:v>1026</x:v>
      </x:c>
      <x:c r="X260" s="15" t="n">
        <x:v>1712</x:v>
      </x:c>
      <x:c r="Y260" s="15" t="n">
        <x:v>650</x:v>
      </x:c>
      <x:c r="Z260" s="15" t="n">
        <x:v>1769</x:v>
      </x:c>
      <x:c r="AA260" s="15" t="n">
        <x:v>691</x:v>
      </x:c>
      <x:c r="AB260" s="15" t="n">
        <x:v>649</x:v>
      </x:c>
      <x:c r="AC260" s="15" t="n">
        <x:v>416</x:v>
      </x:c>
      <x:c r="AD260" s="15" t="n">
        <x:v>2087</x:v>
      </x:c>
      <x:c r="AE260" s="15" t="n">
        <x:v>1013</x:v>
      </x:c>
      <x:c r="AF260" s="15" t="n">
        <x:v>4669</x:v>
      </x:c>
      <x:c r="AG260" s="15" t="n">
        <x:v>929</x:v>
      </x:c>
      <x:c r="AH260" s="15" t="n">
        <x:v>699</x:v>
      </x:c>
      <x:c r="AI260" s="15" t="n">
        <x:v>446</x:v>
      </x:c>
    </x:row>
    <x:row r="261" ht="22" customHeight="1">
      <x:c r="A261" s="1" t="str">
        <x:v>310M700US34940</x:v>
      </x:c>
      <x:c r="B261" s="1" t="str">
        <x:v>34940</x:v>
      </x:c>
      <x:c r="C261" s="1" t="str">
        <x:v>Naples-Marco Island, FL Metro Area</x:v>
      </x:c>
      <x:c r="D261" s="5" t="n">
        <x:v>2024</x:v>
      </x:c>
      <x:c r="E261" s="1" t="str">
        <x:v>ok</x:v>
      </x:c>
      <x:c r="F261" s="15" t="n">
        <x:v>36876</x:v>
      </x:c>
      <x:c r="G261" s="15" t="n">
        <x:v>3081</x:v>
      </x:c>
      <x:c r="H261" s="15" t="n">
        <x:v>33795</x:v>
      </x:c>
      <x:c r="I261" s="15" t="n">
        <x:v>20466</x:v>
      </x:c>
      <x:c r="J261" s="15" t="n">
        <x:v>10680</x:v>
      </x:c>
      <x:c r="K261" s="15" t="n">
        <x:v>60.559254</x:v>
      </x:c>
      <x:c r="L261" s="15" t="n">
        <x:v>31.602308</x:v>
      </x:c>
      <x:c r="M261" s="15" t="n">
        <x:v>8.355028</x:v>
      </x:c>
      <x:c r="N261" s="15" t="n">
        <x:v>36876</x:v>
      </x:c>
      <x:c r="O261" s="15" t="n">
        <x:v>3833</x:v>
      </x:c>
      <x:c r="P261" s="15" t="n">
        <x:v>1521</x:v>
      </x:c>
      <x:c r="Q261" s="15" t="n">
        <x:v>835</x:v>
      </x:c>
      <x:c r="R261" s="15" t="n">
        <x:v>1816</x:v>
      </x:c>
      <x:c r="S261" s="15" t="n">
        <x:v>945</x:v>
      </x:c>
      <x:c r="T261" s="15" t="n">
        <x:v>1984</x:v>
      </x:c>
      <x:c r="U261" s="15" t="n">
        <x:v>766</x:v>
      </x:c>
      <x:c r="V261" s="15" t="n">
        <x:v>4111</x:v>
      </x:c>
      <x:c r="W261" s="15" t="n">
        <x:v>1479</x:v>
      </x:c>
      <x:c r="X261" s="15" t="n">
        <x:v>3897</x:v>
      </x:c>
      <x:c r="Y261" s="15" t="n">
        <x:v>1111</x:v>
      </x:c>
      <x:c r="Z261" s="15" t="n">
        <x:v>3360</x:v>
      </x:c>
      <x:c r="AA261" s="15" t="n">
        <x:v>1307</x:v>
      </x:c>
      <x:c r="AB261" s="15" t="n">
        <x:v>2252</x:v>
      </x:c>
      <x:c r="AC261" s="15" t="n">
        <x:v>732</x:v>
      </x:c>
      <x:c r="AD261" s="15" t="n">
        <x:v>4174</x:v>
      </x:c>
      <x:c r="AE261" s="15" t="n">
        <x:v>1239</x:v>
      </x:c>
      <x:c r="AF261" s="15" t="n">
        <x:v>10680</x:v>
      </x:c>
      <x:c r="AG261" s="15" t="n">
        <x:v>2088</x:v>
      </x:c>
      <x:c r="AH261" s="15" t="n">
        <x:v>3081</x:v>
      </x:c>
      <x:c r="AI261" s="15" t="n">
        <x:v>912</x:v>
      </x:c>
    </x:row>
    <x:row r="262" ht="22" customHeight="1">
      <x:c r="A262" s="1" t="str">
        <x:v>310M700US34980</x:v>
      </x:c>
      <x:c r="B262" s="1" t="str">
        <x:v>34980</x:v>
      </x:c>
      <x:c r="C262" s="1" t="str">
        <x:v>Nashville-Davidson--Murfreesboro--Franklin, TN Metro Area</x:v>
      </x:c>
      <x:c r="D262" s="5" t="n">
        <x:v>2024</x:v>
      </x:c>
      <x:c r="E262" s="1" t="str">
        <x:v>ok</x:v>
      </x:c>
      <x:c r="F262" s="15" t="n">
        <x:v>307415</x:v>
      </x:c>
      <x:c r="G262" s="15" t="n">
        <x:v>17234</x:v>
      </x:c>
      <x:c r="H262" s="15" t="n">
        <x:v>290181</x:v>
      </x:c>
      <x:c r="I262" s="15" t="n">
        <x:v>155071</x:v>
      </x:c>
      <x:c r="J262" s="15" t="n">
        <x:v>66623</x:v>
      </x:c>
      <x:c r="K262" s="15" t="n">
        <x:v>53.439405</x:v>
      </x:c>
      <x:c r="L262" s="15" t="n">
        <x:v>22.959119</x:v>
      </x:c>
      <x:c r="M262" s="15" t="n">
        <x:v>5.606102</x:v>
      </x:c>
      <x:c r="N262" s="15" t="n">
        <x:v>307415</x:v>
      </x:c>
      <x:c r="O262" s="15" t="n">
        <x:v>8889</x:v>
      </x:c>
      <x:c r="P262" s="15" t="n">
        <x:v>7424</x:v>
      </x:c>
      <x:c r="Q262" s="15" t="n">
        <x:v>1693</x:v>
      </x:c>
      <x:c r="R262" s="15" t="n">
        <x:v>18942</x:v>
      </x:c>
      <x:c r="S262" s="15" t="n">
        <x:v>2416</x:v>
      </x:c>
      <x:c r="T262" s="15" t="n">
        <x:v>37758</x:v>
      </x:c>
      <x:c r="U262" s="15" t="n">
        <x:v>4613</x:v>
      </x:c>
      <x:c r="V262" s="15" t="n">
        <x:v>39001</x:v>
      </x:c>
      <x:c r="W262" s="15" t="n">
        <x:v>4126</x:v>
      </x:c>
      <x:c r="X262" s="15" t="n">
        <x:v>31985</x:v>
      </x:c>
      <x:c r="Y262" s="15" t="n">
        <x:v>3484</x:v>
      </x:c>
      <x:c r="Z262" s="15" t="n">
        <x:v>36285</x:v>
      </x:c>
      <x:c r="AA262" s="15" t="n">
        <x:v>4818</x:v>
      </x:c>
      <x:c r="AB262" s="15" t="n">
        <x:v>25926</x:v>
      </x:c>
      <x:c r="AC262" s="15" t="n">
        <x:v>4320</x:v>
      </x:c>
      <x:c r="AD262" s="15" t="n">
        <x:v>26237</x:v>
      </x:c>
      <x:c r="AE262" s="15" t="n">
        <x:v>3584</x:v>
      </x:c>
      <x:c r="AF262" s="15" t="n">
        <x:v>66623</x:v>
      </x:c>
      <x:c r="AG262" s="15" t="n">
        <x:v>5573</x:v>
      </x:c>
      <x:c r="AH262" s="15" t="n">
        <x:v>17234</x:v>
      </x:c>
      <x:c r="AI262" s="15" t="n">
        <x:v>2531</x:v>
      </x:c>
    </x:row>
    <x:row r="263" ht="22" customHeight="1">
      <x:c r="A263" s="1" t="str">
        <x:v>310M700US35300</x:v>
      </x:c>
      <x:c r="B263" s="1" t="str">
        <x:v>35300</x:v>
      </x:c>
      <x:c r="C263" s="1" t="str">
        <x:v>New Haven, CT Metro Area</x:v>
      </x:c>
      <x:c r="D263" s="5" t="n">
        <x:v>2024</x:v>
      </x:c>
      <x:c r="E263" s="1" t="str">
        <x:v>ok</x:v>
      </x:c>
      <x:c r="F263" s="15" t="n">
        <x:v>91267</x:v>
      </x:c>
      <x:c r="G263" s="15" t="n">
        <x:v>3909</x:v>
      </x:c>
      <x:c r="H263" s="15" t="n">
        <x:v>87358</x:v>
      </x:c>
      <x:c r="I263" s="15" t="n">
        <x:v>46613</x:v>
      </x:c>
      <x:c r="J263" s="15" t="n">
        <x:v>23292</x:v>
      </x:c>
      <x:c r="K263" s="15" t="n">
        <x:v>53.358593</x:v>
      </x:c>
      <x:c r="L263" s="15" t="n">
        <x:v>26.662698</x:v>
      </x:c>
      <x:c r="M263" s="15" t="n">
        <x:v>4.283038</x:v>
      </x:c>
      <x:c r="N263" s="15" t="n">
        <x:v>91267</x:v>
      </x:c>
      <x:c r="O263" s="15" t="n">
        <x:v>4656</x:v>
      </x:c>
      <x:c r="P263" s="15" t="n">
        <x:v>4186</x:v>
      </x:c>
      <x:c r="Q263" s="15" t="n">
        <x:v>1419</x:v>
      </x:c>
      <x:c r="R263" s="15" t="n">
        <x:v>6815</x:v>
      </x:c>
      <x:c r="S263" s="15" t="n">
        <x:v>1408</x:v>
      </x:c>
      <x:c r="T263" s="15" t="n">
        <x:v>9967</x:v>
      </x:c>
      <x:c r="U263" s="15" t="n">
        <x:v>2049</x:v>
      </x:c>
      <x:c r="V263" s="15" t="n">
        <x:v>10685</x:v>
      </x:c>
      <x:c r="W263" s="15" t="n">
        <x:v>1955</x:v>
      </x:c>
      <x:c r="X263" s="15" t="n">
        <x:v>9092</x:v>
      </x:c>
      <x:c r="Y263" s="15" t="n">
        <x:v>1721</x:v>
      </x:c>
      <x:c r="Z263" s="15" t="n">
        <x:v>9913</x:v>
      </x:c>
      <x:c r="AA263" s="15" t="n">
        <x:v>2297</x:v>
      </x:c>
      <x:c r="AB263" s="15" t="n">
        <x:v>5540</x:v>
      </x:c>
      <x:c r="AC263" s="15" t="n">
        <x:v>1746</x:v>
      </x:c>
      <x:c r="AD263" s="15" t="n">
        <x:v>7868</x:v>
      </x:c>
      <x:c r="AE263" s="15" t="n">
        <x:v>2161</x:v>
      </x:c>
      <x:c r="AF263" s="15" t="n">
        <x:v>23292</x:v>
      </x:c>
      <x:c r="AG263" s="15" t="n">
        <x:v>3273</x:v>
      </x:c>
      <x:c r="AH263" s="15" t="n">
        <x:v>3909</x:v>
      </x:c>
      <x:c r="AI263" s="15" t="n">
        <x:v>1418</x:v>
      </x:c>
    </x:row>
    <x:row r="264" ht="22" customHeight="1">
      <x:c r="A264" s="1" t="str">
        <x:v>310M700US35380</x:v>
      </x:c>
      <x:c r="B264" s="1" t="str">
        <x:v>35380</x:v>
      </x:c>
      <x:c r="C264" s="1" t="str">
        <x:v>New Orleans-Metairie, LA Metro Area</x:v>
      </x:c>
      <x:c r="D264" s="5" t="n">
        <x:v>2024</x:v>
      </x:c>
      <x:c r="E264" s="1" t="str">
        <x:v>ok</x:v>
      </x:c>
      <x:c r="F264" s="15" t="n">
        <x:v>154367</x:v>
      </x:c>
      <x:c r="G264" s="15" t="n">
        <x:v>11775</x:v>
      </x:c>
      <x:c r="H264" s="15" t="n">
        <x:v>142592</x:v>
      </x:c>
      <x:c r="I264" s="15" t="n">
        <x:v>83616</x:v>
      </x:c>
      <x:c r="J264" s="15" t="n">
        <x:v>44298</x:v>
      </x:c>
      <x:c r="K264" s="15" t="n">
        <x:v>58.640036</x:v>
      </x:c>
      <x:c r="L264" s="15" t="n">
        <x:v>31.066259</x:v>
      </x:c>
      <x:c r="M264" s="15" t="n">
        <x:v>7.627926</x:v>
      </x:c>
      <x:c r="N264" s="15" t="n">
        <x:v>154367</x:v>
      </x:c>
      <x:c r="O264" s="15" t="n">
        <x:v>5971</x:v>
      </x:c>
      <x:c r="P264" s="15" t="n">
        <x:v>5152</x:v>
      </x:c>
      <x:c r="Q264" s="15" t="n">
        <x:v>1608</x:v>
      </x:c>
      <x:c r="R264" s="15" t="n">
        <x:v>7683</x:v>
      </x:c>
      <x:c r="S264" s="15" t="n">
        <x:v>1713</x:v>
      </x:c>
      <x:c r="T264" s="15" t="n">
        <x:v>13741</x:v>
      </x:c>
      <x:c r="U264" s="15" t="n">
        <x:v>2471</x:v>
      </x:c>
      <x:c r="V264" s="15" t="n">
        <x:v>14344</x:v>
      </x:c>
      <x:c r="W264" s="15" t="n">
        <x:v>2246</x:v>
      </x:c>
      <x:c r="X264" s="15" t="n">
        <x:v>18056</x:v>
      </x:c>
      <x:c r="Y264" s="15" t="n">
        <x:v>3251</x:v>
      </x:c>
      <x:c r="Z264" s="15" t="n">
        <x:v>14585</x:v>
      </x:c>
      <x:c r="AA264" s="15" t="n">
        <x:v>3108</x:v>
      </x:c>
      <x:c r="AB264" s="15" t="n">
        <x:v>9832</x:v>
      </x:c>
      <x:c r="AC264" s="15" t="n">
        <x:v>2176</x:v>
      </x:c>
      <x:c r="AD264" s="15" t="n">
        <x:v>14901</x:v>
      </x:c>
      <x:c r="AE264" s="15" t="n">
        <x:v>2802</x:v>
      </x:c>
      <x:c r="AF264" s="15" t="n">
        <x:v>44298</x:v>
      </x:c>
      <x:c r="AG264" s="15" t="n">
        <x:v>4794</x:v>
      </x:c>
      <x:c r="AH264" s="15" t="n">
        <x:v>11775</x:v>
      </x:c>
      <x:c r="AI264" s="15" t="n">
        <x:v>2012</x:v>
      </x:c>
    </x:row>
    <x:row r="265" ht="22" customHeight="1">
      <x:c r="A265" s="1" t="str">
        <x:v>310M700US35620</x:v>
      </x:c>
      <x:c r="B265" s="1" t="str">
        <x:v>35620</x:v>
      </x:c>
      <x:c r="C265" s="1" t="str">
        <x:v>New York-Newark-Jersey City, NY-NJ Metro Area</x:v>
      </x:c>
      <x:c r="D265" s="5" t="n">
        <x:v>2024</x:v>
      </x:c>
      <x:c r="E265" s="1" t="str">
        <x:v>ok</x:v>
      </x:c>
      <x:c r="F265" s="15" t="n">
        <x:v>3653646</x:v>
      </x:c>
      <x:c r="G265" s="15" t="n">
        <x:v>188268</x:v>
      </x:c>
      <x:c r="H265" s="15" t="n">
        <x:v>3465378</x:v>
      </x:c>
      <x:c r="I265" s="15" t="n">
        <x:v>1801195</x:v>
      </x:c>
      <x:c r="J265" s="15" t="n">
        <x:v>970510</x:v>
      </x:c>
      <x:c r="K265" s="15" t="n">
        <x:v>51.976869</x:v>
      </x:c>
      <x:c r="L265" s="15" t="n">
        <x:v>28.005891</x:v>
      </x:c>
      <x:c r="M265" s="15" t="n">
        <x:v>5.15288</x:v>
      </x:c>
      <x:c r="N265" s="15" t="n">
        <x:v>3653646</x:v>
      </x:c>
      <x:c r="O265" s="15" t="n">
        <x:v>22157</x:v>
      </x:c>
      <x:c r="P265" s="15" t="n">
        <x:v>165768</x:v>
      </x:c>
      <x:c r="Q265" s="15" t="n">
        <x:v>8983</x:v>
      </x:c>
      <x:c r="R265" s="15" t="n">
        <x:v>301815</x:v>
      </x:c>
      <x:c r="S265" s="15" t="n">
        <x:v>11601</x:v>
      </x:c>
      <x:c r="T265" s="15" t="n">
        <x:v>405114</x:v>
      </x:c>
      <x:c r="U265" s="15" t="n">
        <x:v>12980</x:v>
      </x:c>
      <x:c r="V265" s="15" t="n">
        <x:v>408907</x:v>
      </x:c>
      <x:c r="W265" s="15" t="n">
        <x:v>13117</x:v>
      </x:c>
      <x:c r="X265" s="15" t="n">
        <x:v>382579</x:v>
      </x:c>
      <x:c r="Y265" s="15" t="n">
        <x:v>11784</x:v>
      </x:c>
      <x:c r="Z265" s="15" t="n">
        <x:v>309606</x:v>
      </x:c>
      <x:c r="AA265" s="15" t="n">
        <x:v>12563</x:v>
      </x:c>
      <x:c r="AB265" s="15" t="n">
        <x:v>222812</x:v>
      </x:c>
      <x:c r="AC265" s="15" t="n">
        <x:v>10579</x:v>
      </x:c>
      <x:c r="AD265" s="15" t="n">
        <x:v>298267</x:v>
      </x:c>
      <x:c r="AE265" s="15" t="n">
        <x:v>12323</x:v>
      </x:c>
      <x:c r="AF265" s="15" t="n">
        <x:v>970510</x:v>
      </x:c>
      <x:c r="AG265" s="15" t="n">
        <x:v>20429</x:v>
      </x:c>
      <x:c r="AH265" s="15" t="n">
        <x:v>188268</x:v>
      </x:c>
      <x:c r="AI265" s="15" t="n">
        <x:v>9238</x:v>
      </x:c>
    </x:row>
    <x:row r="266" ht="22" customHeight="1">
      <x:c r="A266" s="1" t="str">
        <x:v>310M700US35660</x:v>
      </x:c>
      <x:c r="B266" s="1" t="str">
        <x:v>35660</x:v>
      </x:c>
      <x:c r="C266" s="1" t="str">
        <x:v>Niles, MI Metro Area</x:v>
      </x:c>
      <x:c r="D266" s="5" t="n">
        <x:v>2024</x:v>
      </x:c>
      <x:c r="E266" s="1" t="str">
        <x:v>ok</x:v>
      </x:c>
      <x:c r="F266" s="15" t="n">
        <x:v>15713</x:v>
      </x:c>
      <x:c r="G266" s="15" t="n">
        <x:v>2313</x:v>
      </x:c>
      <x:c r="H266" s="15" t="n">
        <x:v>13400</x:v>
      </x:c>
      <x:c r="I266" s="15" t="n">
        <x:v>6949</x:v>
      </x:c>
      <x:c r="J266" s="15" t="n">
        <x:v>2306</x:v>
      </x:c>
      <x:c r="K266" s="15" t="n">
        <x:v>51.858209</x:v>
      </x:c>
      <x:c r="L266" s="15" t="n">
        <x:v>17.208955</x:v>
      </x:c>
      <x:c r="M266" s="15" t="n">
        <x:v>14.720295</x:v>
      </x:c>
      <x:c r="N266" s="15" t="n">
        <x:v>15713</x:v>
      </x:c>
      <x:c r="O266" s="15" t="n">
        <x:v>1624</x:v>
      </x:c>
      <x:c r="P266" s="15" t="n">
        <x:v>642</x:v>
      </x:c>
      <x:c r="Q266" s="15" t="n">
        <x:v>510</x:v>
      </x:c>
      <x:c r="R266" s="15" t="n">
        <x:v>1643</x:v>
      </x:c>
      <x:c r="S266" s="15" t="n">
        <x:v>696</x:v>
      </x:c>
      <x:c r="T266" s="15" t="n">
        <x:v>1538</x:v>
      </x:c>
      <x:c r="U266" s="15" t="n">
        <x:v>685</x:v>
      </x:c>
      <x:c r="V266" s="15" t="n">
        <x:v>1359</x:v>
      </x:c>
      <x:c r="W266" s="15" t="n">
        <x:v>626</x:v>
      </x:c>
      <x:c r="X266" s="15" t="n">
        <x:v>1269</x:v>
      </x:c>
      <x:c r="Y266" s="15" t="n">
        <x:v>683</x:v>
      </x:c>
      <x:c r="Z266" s="15" t="n">
        <x:v>1295</x:v>
      </x:c>
      <x:c r="AA266" s="15" t="n">
        <x:v>571</x:v>
      </x:c>
      <x:c r="AB266" s="15" t="n">
        <x:v>1028</x:v>
      </x:c>
      <x:c r="AC266" s="15" t="n">
        <x:v>526</x:v>
      </x:c>
      <x:c r="AD266" s="15" t="n">
        <x:v>2320</x:v>
      </x:c>
      <x:c r="AE266" s="15" t="n">
        <x:v>774</x:v>
      </x:c>
      <x:c r="AF266" s="15" t="n">
        <x:v>2306</x:v>
      </x:c>
      <x:c r="AG266" s="15" t="n">
        <x:v>757</x:v>
      </x:c>
      <x:c r="AH266" s="15" t="n">
        <x:v>2313</x:v>
      </x:c>
      <x:c r="AI266" s="15" t="n">
        <x:v>861</x:v>
      </x:c>
    </x:row>
    <x:row r="267" ht="22" customHeight="1">
      <x:c r="A267" s="1" t="str">
        <x:v>310M700US35840</x:v>
      </x:c>
      <x:c r="B267" s="1" t="str">
        <x:v>35840</x:v>
      </x:c>
      <x:c r="C267" s="1" t="str">
        <x:v>North Port-Bradenton-Sarasota, FL Metro Area</x:v>
      </x:c>
      <x:c r="D267" s="5" t="n">
        <x:v>2024</x:v>
      </x:c>
      <x:c r="E267" s="1" t="str">
        <x:v>ok</x:v>
      </x:c>
      <x:c r="F267" s="15" t="n">
        <x:v>99475</x:v>
      </x:c>
      <x:c r="G267" s="15" t="n">
        <x:v>5836</x:v>
      </x:c>
      <x:c r="H267" s="15" t="n">
        <x:v>93639</x:v>
      </x:c>
      <x:c r="I267" s="15" t="n">
        <x:v>60489</x:v>
      </x:c>
      <x:c r="J267" s="15" t="n">
        <x:v>31410</x:v>
      </x:c>
      <x:c r="K267" s="15" t="n">
        <x:v>64.598084</x:v>
      </x:c>
      <x:c r="L267" s="15" t="n">
        <x:v>33.543716</x:v>
      </x:c>
      <x:c r="M267" s="15" t="n">
        <x:v>5.866801</x:v>
      </x:c>
      <x:c r="N267" s="15" t="n">
        <x:v>99475</x:v>
      </x:c>
      <x:c r="O267" s="15" t="n">
        <x:v>5161</x:v>
      </x:c>
      <x:c r="P267" s="15" t="n">
        <x:v>1173</x:v>
      </x:c>
      <x:c r="Q267" s="15" t="n">
        <x:v>435</x:v>
      </x:c>
      <x:c r="R267" s="15" t="n">
        <x:v>4646</x:v>
      </x:c>
      <x:c r="S267" s="15" t="n">
        <x:v>1606</x:v>
      </x:c>
      <x:c r="T267" s="15" t="n">
        <x:v>7535</x:v>
      </x:c>
      <x:c r="U267" s="15" t="n">
        <x:v>1937</x:v>
      </x:c>
      <x:c r="V267" s="15" t="n">
        <x:v>8540</x:v>
      </x:c>
      <x:c r="W267" s="15" t="n">
        <x:v>1908</x:v>
      </x:c>
      <x:c r="X267" s="15" t="n">
        <x:v>11256</x:v>
      </x:c>
      <x:c r="Y267" s="15" t="n">
        <x:v>2258</x:v>
      </x:c>
      <x:c r="Z267" s="15" t="n">
        <x:v>9297</x:v>
      </x:c>
      <x:c r="AA267" s="15" t="n">
        <x:v>2061</x:v>
      </x:c>
      <x:c r="AB267" s="15" t="n">
        <x:v>7624</x:v>
      </x:c>
      <x:c r="AC267" s="15" t="n">
        <x:v>2004</x:v>
      </x:c>
      <x:c r="AD267" s="15" t="n">
        <x:v>12158</x:v>
      </x:c>
      <x:c r="AE267" s="15" t="n">
        <x:v>2927</x:v>
      </x:c>
      <x:c r="AF267" s="15" t="n">
        <x:v>31410</x:v>
      </x:c>
      <x:c r="AG267" s="15" t="n">
        <x:v>3810</x:v>
      </x:c>
      <x:c r="AH267" s="15" t="n">
        <x:v>5836</x:v>
      </x:c>
      <x:c r="AI267" s="15" t="n">
        <x:v>1682</x:v>
      </x:c>
    </x:row>
    <x:row r="268" ht="22" customHeight="1">
      <x:c r="A268" s="1" t="str">
        <x:v>310M700US35980</x:v>
      </x:c>
      <x:c r="B268" s="1" t="str">
        <x:v>35980</x:v>
      </x:c>
      <x:c r="C268" s="1" t="str">
        <x:v>Norwich-New London-Willimantic, CT Metro Area</x:v>
      </x:c>
      <x:c r="D268" s="5" t="n">
        <x:v>2024</x:v>
      </x:c>
      <x:c r="E268" s="1" t="str">
        <x:v>ok</x:v>
      </x:c>
      <x:c r="F268" s="15" t="n">
        <x:v>41489</x:v>
      </x:c>
      <x:c r="G268" s="15" t="n">
        <x:v>1915</x:v>
      </x:c>
      <x:c r="H268" s="15" t="n">
        <x:v>39574</x:v>
      </x:c>
      <x:c r="I268" s="15" t="n">
        <x:v>21051</x:v>
      </x:c>
      <x:c r="J268" s="15" t="n">
        <x:v>8663</x:v>
      </x:c>
      <x:c r="K268" s="15" t="n">
        <x:v>53.194016</x:v>
      </x:c>
      <x:c r="L268" s="15" t="n">
        <x:v>21.890635</x:v>
      </x:c>
      <x:c r="M268" s="15" t="n">
        <x:v>4.615681</x:v>
      </x:c>
      <x:c r="N268" s="15" t="n">
        <x:v>41489</x:v>
      </x:c>
      <x:c r="O268" s="15" t="n">
        <x:v>2778</x:v>
      </x:c>
      <x:c r="P268" s="15" t="n">
        <x:v>488</x:v>
      </x:c>
      <x:c r="Q268" s="15" t="n">
        <x:v>316</x:v>
      </x:c>
      <x:c r="R268" s="15" t="n">
        <x:v>2632</x:v>
      </x:c>
      <x:c r="S268" s="15" t="n">
        <x:v>859</x:v>
      </x:c>
      <x:c r="T268" s="15" t="n">
        <x:v>4254</x:v>
      </x:c>
      <x:c r="U268" s="15" t="n">
        <x:v>1125</x:v>
      </x:c>
      <x:c r="V268" s="15" t="n">
        <x:v>6106</x:v>
      </x:c>
      <x:c r="W268" s="15" t="n">
        <x:v>1450</x:v>
      </x:c>
      <x:c r="X268" s="15" t="n">
        <x:v>5043</x:v>
      </x:c>
      <x:c r="Y268" s="15" t="n">
        <x:v>1359</x:v>
      </x:c>
      <x:c r="Z268" s="15" t="n">
        <x:v>5665</x:v>
      </x:c>
      <x:c r="AA268" s="15" t="n">
        <x:v>1641</x:v>
      </x:c>
      <x:c r="AB268" s="15" t="n">
        <x:v>3281</x:v>
      </x:c>
      <x:c r="AC268" s="15" t="n">
        <x:v>1192</x:v>
      </x:c>
      <x:c r="AD268" s="15" t="n">
        <x:v>3442</x:v>
      </x:c>
      <x:c r="AE268" s="15" t="n">
        <x:v>1132</x:v>
      </x:c>
      <x:c r="AF268" s="15" t="n">
        <x:v>8663</x:v>
      </x:c>
      <x:c r="AG268" s="15" t="n">
        <x:v>1595</x:v>
      </x:c>
      <x:c r="AH268" s="15" t="n">
        <x:v>1915</x:v>
      </x:c>
      <x:c r="AI268" s="15" t="n">
        <x:v>681</x:v>
      </x:c>
    </x:row>
    <x:row r="269" ht="22" customHeight="1">
      <x:c r="A269" s="1" t="str">
        <x:v>310M700US36100</x:v>
      </x:c>
      <x:c r="B269" s="1" t="str">
        <x:v>36100</x:v>
      </x:c>
      <x:c r="C269" s="1" t="str">
        <x:v>Ocala, FL Metro Area</x:v>
      </x:c>
      <x:c r="D269" s="5" t="n">
        <x:v>2024</x:v>
      </x:c>
      <x:c r="E269" s="1" t="str">
        <x:v>ok</x:v>
      </x:c>
      <x:c r="F269" s="15" t="n">
        <x:v>39104</x:v>
      </x:c>
      <x:c r="G269" s="15" t="n">
        <x:v>3800</x:v>
      </x:c>
      <x:c r="H269" s="15" t="n">
        <x:v>35304</x:v>
      </x:c>
      <x:c r="I269" s="15" t="n">
        <x:v>19135</x:v>
      </x:c>
      <x:c r="J269" s="15" t="n">
        <x:v>9031</x:v>
      </x:c>
      <x:c r="K269" s="15" t="n">
        <x:v>54.200657</x:v>
      </x:c>
      <x:c r="L269" s="15" t="n">
        <x:v>25.580671</x:v>
      </x:c>
      <x:c r="M269" s="15" t="n">
        <x:v>9.717676</x:v>
      </x:c>
      <x:c r="N269" s="15" t="n">
        <x:v>39104</x:v>
      </x:c>
      <x:c r="O269" s="15" t="n">
        <x:v>4169</x:v>
      </x:c>
      <x:c r="P269" s="15" t="n">
        <x:v>2076</x:v>
      </x:c>
      <x:c r="Q269" s="15" t="n">
        <x:v>1235</x:v>
      </x:c>
      <x:c r="R269" s="15" t="n">
        <x:v>2211</x:v>
      </x:c>
      <x:c r="S269" s="15" t="n">
        <x:v>1215</x:v>
      </x:c>
      <x:c r="T269" s="15" t="n">
        <x:v>2695</x:v>
      </x:c>
      <x:c r="U269" s="15" t="n">
        <x:v>1305</x:v>
      </x:c>
      <x:c r="V269" s="15" t="n">
        <x:v>5060</x:v>
      </x:c>
      <x:c r="W269" s="15" t="n">
        <x:v>1586</x:v>
      </x:c>
      <x:c r="X269" s="15" t="n">
        <x:v>4127</x:v>
      </x:c>
      <x:c r="Y269" s="15" t="n">
        <x:v>1472</x:v>
      </x:c>
      <x:c r="Z269" s="15" t="n">
        <x:v>4145</x:v>
      </x:c>
      <x:c r="AA269" s="15" t="n">
        <x:v>1831</x:v>
      </x:c>
      <x:c r="AB269" s="15" t="n">
        <x:v>2427</x:v>
      </x:c>
      <x:c r="AC269" s="15" t="n">
        <x:v>1075</x:v>
      </x:c>
      <x:c r="AD269" s="15" t="n">
        <x:v>3532</x:v>
      </x:c>
      <x:c r="AE269" s="15" t="n">
        <x:v>1319</x:v>
      </x:c>
      <x:c r="AF269" s="15" t="n">
        <x:v>9031</x:v>
      </x:c>
      <x:c r="AG269" s="15" t="n">
        <x:v>2014</x:v>
      </x:c>
      <x:c r="AH269" s="15" t="n">
        <x:v>3800</x:v>
      </x:c>
      <x:c r="AI269" s="15" t="n">
        <x:v>1338</x:v>
      </x:c>
    </x:row>
    <x:row r="270" ht="22" customHeight="1">
      <x:c r="A270" s="1" t="str">
        <x:v>310M700US36220</x:v>
      </x:c>
      <x:c r="B270" s="1" t="str">
        <x:v>36220</x:v>
      </x:c>
      <x:c r="C270" s="1" t="str">
        <x:v>Odessa, TX Metro Area</x:v>
      </x:c>
      <x:c r="D270" s="5" t="n">
        <x:v>2024</x:v>
      </x:c>
      <x:c r="E270" s="1" t="str">
        <x:v>ok</x:v>
      </x:c>
      <x:c r="F270" s="15" t="n">
        <x:v>24292</x:v>
      </x:c>
      <x:c r="G270" s="15" t="n">
        <x:v>2302</x:v>
      </x:c>
      <x:c r="H270" s="15" t="n">
        <x:v>21990</x:v>
      </x:c>
      <x:c r="I270" s="15" t="n">
        <x:v>10422</x:v>
      </x:c>
      <x:c r="J270" s="15" t="n">
        <x:v>5360</x:v>
      </x:c>
      <x:c r="K270" s="15" t="n">
        <x:v>47.39427</x:v>
      </x:c>
      <x:c r="L270" s="15" t="n">
        <x:v>24.374716</x:v>
      </x:c>
      <x:c r="M270" s="15" t="n">
        <x:v>9.476371</x:v>
      </x:c>
      <x:c r="N270" s="15" t="n">
        <x:v>24292</x:v>
      </x:c>
      <x:c r="O270" s="15" t="n">
        <x:v>3177</x:v>
      </x:c>
      <x:c r="P270" s="15" t="n">
        <x:v>1318</x:v>
      </x:c>
      <x:c r="Q270" s="15" t="n">
        <x:v>1053</x:v>
      </x:c>
      <x:c r="R270" s="15" t="n">
        <x:v>2887</x:v>
      </x:c>
      <x:c r="S270" s="15" t="n">
        <x:v>1619</x:v>
      </x:c>
      <x:c r="T270" s="15" t="n">
        <x:v>3383</x:v>
      </x:c>
      <x:c r="U270" s="15" t="n">
        <x:v>1734</x:v>
      </x:c>
      <x:c r="V270" s="15" t="n">
        <x:v>2243</x:v>
      </x:c>
      <x:c r="W270" s="15" t="n">
        <x:v>1593</x:v>
      </x:c>
      <x:c r="X270" s="15" t="n">
        <x:v>1737</x:v>
      </x:c>
      <x:c r="Y270" s="15" t="n">
        <x:v>1178</x:v>
      </x:c>
      <x:c r="Z270" s="15" t="n">
        <x:v>1495</x:v>
      </x:c>
      <x:c r="AA270" s="15" t="n">
        <x:v>1005</x:v>
      </x:c>
      <x:c r="AB270" s="15" t="n">
        <x:v>2315</x:v>
      </x:c>
      <x:c r="AC270" s="15" t="n">
        <x:v>1423</x:v>
      </x:c>
      <x:c r="AD270" s="15" t="n">
        <x:v>1252</x:v>
      </x:c>
      <x:c r="AE270" s="15" t="n">
        <x:v>890</x:v>
      </x:c>
      <x:c r="AF270" s="15" t="n">
        <x:v>5360</x:v>
      </x:c>
      <x:c r="AG270" s="15" t="n">
        <x:v>1750</x:v>
      </x:c>
      <x:c r="AH270" s="15" t="n">
        <x:v>2302</x:v>
      </x:c>
      <x:c r="AI270" s="15" t="n">
        <x:v>1556</x:v>
      </x:c>
    </x:row>
    <x:row r="271" ht="22" customHeight="1">
      <x:c r="A271" s="1" t="str">
        <x:v>310M700US36260</x:v>
      </x:c>
      <x:c r="B271" s="1" t="str">
        <x:v>36260</x:v>
      </x:c>
      <x:c r="C271" s="1" t="str">
        <x:v>Ogden, UT Metro Area</x:v>
      </x:c>
      <x:c r="D271" s="5" t="n">
        <x:v>2024</x:v>
      </x:c>
      <x:c r="E271" s="1" t="str">
        <x:v>ok</x:v>
      </x:c>
      <x:c r="F271" s="15" t="n">
        <x:v>55902</x:v>
      </x:c>
      <x:c r="G271" s="15" t="n">
        <x:v>3314</x:v>
      </x:c>
      <x:c r="H271" s="15" t="n">
        <x:v>52588</x:v>
      </x:c>
      <x:c r="I271" s="15" t="n">
        <x:v>26668</x:v>
      </x:c>
      <x:c r="J271" s="15" t="n">
        <x:v>10173</x:v>
      </x:c>
      <x:c r="K271" s="15" t="n">
        <x:v>50.711189</x:v>
      </x:c>
      <x:c r="L271" s="15" t="n">
        <x:v>19.344717</x:v>
      </x:c>
      <x:c r="M271" s="15" t="n">
        <x:v>5.928232</x:v>
      </x:c>
      <x:c r="N271" s="15" t="n">
        <x:v>55902</x:v>
      </x:c>
      <x:c r="O271" s="15" t="n">
        <x:v>3043</x:v>
      </x:c>
      <x:c r="P271" s="15" t="n">
        <x:v>2044</x:v>
      </x:c>
      <x:c r="Q271" s="15" t="n">
        <x:v>762</x:v>
      </x:c>
      <x:c r="R271" s="15" t="n">
        <x:v>3100</x:v>
      </x:c>
      <x:c r="S271" s="15" t="n">
        <x:v>1293</x:v>
      </x:c>
      <x:c r="T271" s="15" t="n">
        <x:v>5704</x:v>
      </x:c>
      <x:c r="U271" s="15" t="n">
        <x:v>1396</x:v>
      </x:c>
      <x:c r="V271" s="15" t="n">
        <x:v>7086</x:v>
      </x:c>
      <x:c r="W271" s="15" t="n">
        <x:v>1419</x:v>
      </x:c>
      <x:c r="X271" s="15" t="n">
        <x:v>7986</x:v>
      </x:c>
      <x:c r="Y271" s="15" t="n">
        <x:v>1542</x:v>
      </x:c>
      <x:c r="Z271" s="15" t="n">
        <x:v>6300</x:v>
      </x:c>
      <x:c r="AA271" s="15" t="n">
        <x:v>1615</x:v>
      </x:c>
      <x:c r="AB271" s="15" t="n">
        <x:v>5672</x:v>
      </x:c>
      <x:c r="AC271" s="15" t="n">
        <x:v>1627</x:v>
      </x:c>
      <x:c r="AD271" s="15" t="n">
        <x:v>4523</x:v>
      </x:c>
      <x:c r="AE271" s="15" t="n">
        <x:v>1210</x:v>
      </x:c>
      <x:c r="AF271" s="15" t="n">
        <x:v>10173</x:v>
      </x:c>
      <x:c r="AG271" s="15" t="n">
        <x:v>2045</x:v>
      </x:c>
      <x:c r="AH271" s="15" t="n">
        <x:v>3314</x:v>
      </x:c>
      <x:c r="AI271" s="15" t="n">
        <x:v>1206</x:v>
      </x:c>
    </x:row>
    <x:row r="272" ht="22" customHeight="1">
      <x:c r="A272" s="1" t="str">
        <x:v>310M700US36420</x:v>
      </x:c>
      <x:c r="B272" s="1" t="str">
        <x:v>36420</x:v>
      </x:c>
      <x:c r="C272" s="1" t="str">
        <x:v>Oklahoma City, OK Metro Area</x:v>
      </x:c>
      <x:c r="D272" s="5" t="n">
        <x:v>2024</x:v>
      </x:c>
      <x:c r="E272" s="1" t="str">
        <x:v>ok</x:v>
      </x:c>
      <x:c r="F272" s="15" t="n">
        <x:v>216572</x:v>
      </x:c>
      <x:c r="G272" s="15" t="n">
        <x:v>17354</x:v>
      </x:c>
      <x:c r="H272" s="15" t="n">
        <x:v>199218</x:v>
      </x:c>
      <x:c r="I272" s="15" t="n">
        <x:v>95534</x:v>
      </x:c>
      <x:c r="J272" s="15" t="n">
        <x:v>46070</x:v>
      </x:c>
      <x:c r="K272" s="15" t="n">
        <x:v>47.954502</x:v>
      </x:c>
      <x:c r="L272" s="15" t="n">
        <x:v>23.12542</x:v>
      </x:c>
      <x:c r="M272" s="15" t="n">
        <x:v>8.01304</x:v>
      </x:c>
      <x:c r="N272" s="15" t="n">
        <x:v>216572</x:v>
      </x:c>
      <x:c r="O272" s="15" t="n">
        <x:v>6718</x:v>
      </x:c>
      <x:c r="P272" s="15" t="n">
        <x:v>7434</x:v>
      </x:c>
      <x:c r="Q272" s="15" t="n">
        <x:v>1583</x:v>
      </x:c>
      <x:c r="R272" s="15" t="n">
        <x:v>17661</x:v>
      </x:c>
      <x:c r="S272" s="15" t="n">
        <x:v>2489</x:v>
      </x:c>
      <x:c r="T272" s="15" t="n">
        <x:v>24914</x:v>
      </x:c>
      <x:c r="U272" s="15" t="n">
        <x:v>3048</x:v>
      </x:c>
      <x:c r="V272" s="15" t="n">
        <x:v>28758</x:v>
      </x:c>
      <x:c r="W272" s="15" t="n">
        <x:v>3786</x:v>
      </x:c>
      <x:c r="X272" s="15" t="n">
        <x:v>24917</x:v>
      </x:c>
      <x:c r="Y272" s="15" t="n">
        <x:v>3239</x:v>
      </x:c>
      <x:c r="Z272" s="15" t="n">
        <x:v>18171</x:v>
      </x:c>
      <x:c r="AA272" s="15" t="n">
        <x:v>2453</x:v>
      </x:c>
      <x:c r="AB272" s="15" t="n">
        <x:v>14667</x:v>
      </x:c>
      <x:c r="AC272" s="15" t="n">
        <x:v>2410</x:v>
      </x:c>
      <x:c r="AD272" s="15" t="n">
        <x:v>16626</x:v>
      </x:c>
      <x:c r="AE272" s="15" t="n">
        <x:v>2783</x:v>
      </x:c>
      <x:c r="AF272" s="15" t="n">
        <x:v>46070</x:v>
      </x:c>
      <x:c r="AG272" s="15" t="n">
        <x:v>3810</x:v>
      </x:c>
      <x:c r="AH272" s="15" t="n">
        <x:v>17354</x:v>
      </x:c>
      <x:c r="AI272" s="15" t="n">
        <x:v>2023</x:v>
      </x:c>
    </x:row>
    <x:row r="273" ht="22" customHeight="1">
      <x:c r="A273" s="1" t="str">
        <x:v>310M700US36500</x:v>
      </x:c>
      <x:c r="B273" s="1" t="str">
        <x:v>36500</x:v>
      </x:c>
      <x:c r="C273" s="1" t="str">
        <x:v>Olympia-Lacey-Tumwater, WA Metro Area</x:v>
      </x:c>
      <x:c r="D273" s="5" t="n">
        <x:v>2024</x:v>
      </x:c>
      <x:c r="E273" s="1" t="str">
        <x:v>ok</x:v>
      </x:c>
      <x:c r="F273" s="15" t="n">
        <x:v>38513</x:v>
      </x:c>
      <x:c r="G273" s="15" t="n">
        <x:v>1537</x:v>
      </x:c>
      <x:c r="H273" s="15" t="n">
        <x:v>36976</x:v>
      </x:c>
      <x:c r="I273" s="15" t="n">
        <x:v>21004</x:v>
      </x:c>
      <x:c r="J273" s="15" t="n">
        <x:v>9336</x:v>
      </x:c>
      <x:c r="K273" s="15" t="n">
        <x:v>56.804414</x:v>
      </x:c>
      <x:c r="L273" s="15" t="n">
        <x:v>25.24881</x:v>
      </x:c>
      <x:c r="M273" s="15" t="n">
        <x:v>3.99086</x:v>
      </x:c>
      <x:c r="N273" s="15" t="n">
        <x:v>38513</x:v>
      </x:c>
      <x:c r="O273" s="15" t="n">
        <x:v>2633</x:v>
      </x:c>
      <x:c r="P273" s="15" t="n">
        <x:v>850</x:v>
      </x:c>
      <x:c r="Q273" s="15" t="n">
        <x:v>543</x:v>
      </x:c>
      <x:c r="R273" s="15" t="n">
        <x:v>2014</x:v>
      </x:c>
      <x:c r="S273" s="15" t="n">
        <x:v>804</x:v>
      </x:c>
      <x:c r="T273" s="15" t="n">
        <x:v>4323</x:v>
      </x:c>
      <x:c r="U273" s="15" t="n">
        <x:v>1279</x:v>
      </x:c>
      <x:c r="V273" s="15" t="n">
        <x:v>4429</x:v>
      </x:c>
      <x:c r="W273" s="15" t="n">
        <x:v>1198</x:v>
      </x:c>
      <x:c r="X273" s="15" t="n">
        <x:v>4356</x:v>
      </x:c>
      <x:c r="Y273" s="15" t="n">
        <x:v>1226</x:v>
      </x:c>
      <x:c r="Z273" s="15" t="n">
        <x:v>4212</x:v>
      </x:c>
      <x:c r="AA273" s="15" t="n">
        <x:v>1340</x:v>
      </x:c>
      <x:c r="AB273" s="15" t="n">
        <x:v>3233</x:v>
      </x:c>
      <x:c r="AC273" s="15" t="n">
        <x:v>1335</x:v>
      </x:c>
      <x:c r="AD273" s="15" t="n">
        <x:v>4223</x:v>
      </x:c>
      <x:c r="AE273" s="15" t="n">
        <x:v>1448</x:v>
      </x:c>
      <x:c r="AF273" s="15" t="n">
        <x:v>9336</x:v>
      </x:c>
      <x:c r="AG273" s="15" t="n">
        <x:v>1613</x:v>
      </x:c>
      <x:c r="AH273" s="15" t="n">
        <x:v>1537</x:v>
      </x:c>
      <x:c r="AI273" s="15" t="n">
        <x:v>689</x:v>
      </x:c>
    </x:row>
    <x:row r="274" ht="22" customHeight="1">
      <x:c r="A274" s="1" t="str">
        <x:v>310M700US36540</x:v>
      </x:c>
      <x:c r="B274" s="1" t="str">
        <x:v>36540</x:v>
      </x:c>
      <x:c r="C274" s="1" t="str">
        <x:v>Omaha, NE-IA Metro Area</x:v>
      </x:c>
      <x:c r="D274" s="5" t="n">
        <x:v>2024</x:v>
      </x:c>
      <x:c r="E274" s="1" t="str">
        <x:v>ok</x:v>
      </x:c>
      <x:c r="F274" s="15" t="n">
        <x:v>137421</x:v>
      </x:c>
      <x:c r="G274" s="15" t="n">
        <x:v>6104</x:v>
      </x:c>
      <x:c r="H274" s="15" t="n">
        <x:v>131317</x:v>
      </x:c>
      <x:c r="I274" s="15" t="n">
        <x:v>62735</x:v>
      </x:c>
      <x:c r="J274" s="15" t="n">
        <x:v>28013</x:v>
      </x:c>
      <x:c r="K274" s="15" t="n">
        <x:v>47.773708</x:v>
      </x:c>
      <x:c r="L274" s="15" t="n">
        <x:v>21.332348</x:v>
      </x:c>
      <x:c r="M274" s="15" t="n">
        <x:v>4.441825</x:v>
      </x:c>
      <x:c r="N274" s="15" t="n">
        <x:v>137421</x:v>
      </x:c>
      <x:c r="O274" s="15" t="n">
        <x:v>4711</x:v>
      </x:c>
      <x:c r="P274" s="15" t="n">
        <x:v>5089</x:v>
      </x:c>
      <x:c r="Q274" s="15" t="n">
        <x:v>1553</x:v>
      </x:c>
      <x:c r="R274" s="15" t="n">
        <x:v>11111</x:v>
      </x:c>
      <x:c r="S274" s="15" t="n">
        <x:v>1840</x:v>
      </x:c>
      <x:c r="T274" s="15" t="n">
        <x:v>17550</x:v>
      </x:c>
      <x:c r="U274" s="15" t="n">
        <x:v>2138</x:v>
      </x:c>
      <x:c r="V274" s="15" t="n">
        <x:v>17571</x:v>
      </x:c>
      <x:c r="W274" s="15" t="n">
        <x:v>2469</x:v>
      </x:c>
      <x:c r="X274" s="15" t="n">
        <x:v>17261</x:v>
      </x:c>
      <x:c r="Y274" s="15" t="n">
        <x:v>2127</x:v>
      </x:c>
      <x:c r="Z274" s="15" t="n">
        <x:v>14780</x:v>
      </x:c>
      <x:c r="AA274" s="15" t="n">
        <x:v>2375</x:v>
      </x:c>
      <x:c r="AB274" s="15" t="n">
        <x:v>8068</x:v>
      </x:c>
      <x:c r="AC274" s="15" t="n">
        <x:v>1587</x:v>
      </x:c>
      <x:c r="AD274" s="15" t="n">
        <x:v>11874</x:v>
      </x:c>
      <x:c r="AE274" s="15" t="n">
        <x:v>2320</x:v>
      </x:c>
      <x:c r="AF274" s="15" t="n">
        <x:v>28013</x:v>
      </x:c>
      <x:c r="AG274" s="15" t="n">
        <x:v>2986</x:v>
      </x:c>
      <x:c r="AH274" s="15" t="n">
        <x:v>6104</x:v>
      </x:c>
      <x:c r="AI274" s="15" t="n">
        <x:v>1369</x:v>
      </x:c>
    </x:row>
    <x:row r="275" ht="22" customHeight="1">
      <x:c r="A275" s="1" t="str">
        <x:v>310M700US36740</x:v>
      </x:c>
      <x:c r="B275" s="1" t="str">
        <x:v>36740</x:v>
      </x:c>
      <x:c r="C275" s="1" t="str">
        <x:v>Orlando-Kissimmee-Sanford, FL Metro Area</x:v>
      </x:c>
      <x:c r="D275" s="5" t="n">
        <x:v>2024</x:v>
      </x:c>
      <x:c r="E275" s="1" t="str">
        <x:v>ok</x:v>
      </x:c>
      <x:c r="F275" s="15" t="n">
        <x:v>419673</x:v>
      </x:c>
      <x:c r="G275" s="15" t="n">
        <x:v>24619</x:v>
      </x:c>
      <x:c r="H275" s="15" t="n">
        <x:v>395054</x:v>
      </x:c>
      <x:c r="I275" s="15" t="n">
        <x:v>245266</x:v>
      </x:c>
      <x:c r="J275" s="15" t="n">
        <x:v>118452</x:v>
      </x:c>
      <x:c r="K275" s="15" t="n">
        <x:v>62.084171</x:v>
      </x:c>
      <x:c r="L275" s="15" t="n">
        <x:v>29.983749</x:v>
      </x:c>
      <x:c r="M275" s="15" t="n">
        <x:v>5.866234</x:v>
      </x:c>
      <x:c r="N275" s="15" t="n">
        <x:v>419673</x:v>
      </x:c>
      <x:c r="O275" s="15" t="n">
        <x:v>9174</x:v>
      </x:c>
      <x:c r="P275" s="15" t="n">
        <x:v>6453</x:v>
      </x:c>
      <x:c r="Q275" s="15" t="n">
        <x:v>2060</x:v>
      </x:c>
      <x:c r="R275" s="15" t="n">
        <x:v>15190</x:v>
      </x:c>
      <x:c r="S275" s="15" t="n">
        <x:v>2993</x:v>
      </x:c>
      <x:c r="T275" s="15" t="n">
        <x:v>34422</x:v>
      </x:c>
      <x:c r="U275" s="15" t="n">
        <x:v>4032</x:v>
      </x:c>
      <x:c r="V275" s="15" t="n">
        <x:v>45150</x:v>
      </x:c>
      <x:c r="W275" s="15" t="n">
        <x:v>4934</x:v>
      </x:c>
      <x:c r="X275" s="15" t="n">
        <x:v>48573</x:v>
      </x:c>
      <x:c r="Y275" s="15" t="n">
        <x:v>5063</x:v>
      </x:c>
      <x:c r="Z275" s="15" t="n">
        <x:v>41524</x:v>
      </x:c>
      <x:c r="AA275" s="15" t="n">
        <x:v>5344</x:v>
      </x:c>
      <x:c r="AB275" s="15" t="n">
        <x:v>37089</x:v>
      </x:c>
      <x:c r="AC275" s="15" t="n">
        <x:v>4863</x:v>
      </x:c>
      <x:c r="AD275" s="15" t="n">
        <x:v>48201</x:v>
      </x:c>
      <x:c r="AE275" s="15" t="n">
        <x:v>5882</x:v>
      </x:c>
      <x:c r="AF275" s="15" t="n">
        <x:v>118452</x:v>
      </x:c>
      <x:c r="AG275" s="15" t="n">
        <x:v>7826</x:v>
      </x:c>
      <x:c r="AH275" s="15" t="n">
        <x:v>24619</x:v>
      </x:c>
      <x:c r="AI275" s="15" t="n">
        <x:v>4051</x:v>
      </x:c>
    </x:row>
    <x:row r="276" ht="22" customHeight="1">
      <x:c r="A276" s="1" t="str">
        <x:v>310M700US36780</x:v>
      </x:c>
      <x:c r="B276" s="1" t="str">
        <x:v>36780</x:v>
      </x:c>
      <x:c r="C276" s="1" t="str">
        <x:v>Oshkosh-Neenah, WI Metro Area</x:v>
      </x:c>
      <x:c r="D276" s="5" t="n">
        <x:v>2024</x:v>
      </x:c>
      <x:c r="E276" s="1" t="str">
        <x:v>ok</x:v>
      </x:c>
      <x:c r="F276" s="15" t="n">
        <x:v>25542</x:v>
      </x:c>
      <x:c r="G276" s="15" t="n">
        <x:v>780</x:v>
      </x:c>
      <x:c r="H276" s="15" t="n">
        <x:v>24762</x:v>
      </x:c>
      <x:c r="I276" s="15" t="n">
        <x:v>10401</x:v>
      </x:c>
      <x:c r="J276" s="15" t="n">
        <x:v>5709</x:v>
      </x:c>
      <x:c r="K276" s="15" t="n">
        <x:v>42.003877</x:v>
      </x:c>
      <x:c r="L276" s="15" t="n">
        <x:v>23.055488</x:v>
      </x:c>
      <x:c r="M276" s="15" t="n">
        <x:v>3.053794</x:v>
      </x:c>
      <x:c r="N276" s="15" t="n">
        <x:v>25542</x:v>
      </x:c>
      <x:c r="O276" s="15" t="n">
        <x:v>2122</x:v>
      </x:c>
      <x:c r="P276" s="15" t="n">
        <x:v>1087</x:v>
      </x:c>
      <x:c r="Q276" s="15" t="n">
        <x:v>617</x:v>
      </x:c>
      <x:c r="R276" s="15" t="n">
        <x:v>3009</x:v>
      </x:c>
      <x:c r="S276" s="15" t="n">
        <x:v>987</x:v>
      </x:c>
      <x:c r="T276" s="15" t="n">
        <x:v>4231</x:v>
      </x:c>
      <x:c r="U276" s="15" t="n">
        <x:v>1174</x:v>
      </x:c>
      <x:c r="V276" s="15" t="n">
        <x:v>3186</x:v>
      </x:c>
      <x:c r="W276" s="15" t="n">
        <x:v>855</x:v>
      </x:c>
      <x:c r="X276" s="15" t="n">
        <x:v>2848</x:v>
      </x:c>
      <x:c r="Y276" s="15" t="n">
        <x:v>876</x:v>
      </x:c>
      <x:c r="Z276" s="15" t="n">
        <x:v>2331</x:v>
      </x:c>
      <x:c r="AA276" s="15" t="n">
        <x:v>788</x:v>
      </x:c>
      <x:c r="AB276" s="15" t="n">
        <x:v>1313</x:v>
      </x:c>
      <x:c r="AC276" s="15" t="n">
        <x:v>512</x:v>
      </x:c>
      <x:c r="AD276" s="15" t="n">
        <x:v>1048</x:v>
      </x:c>
      <x:c r="AE276" s="15" t="n">
        <x:v>604</x:v>
      </x:c>
      <x:c r="AF276" s="15" t="n">
        <x:v>5709</x:v>
      </x:c>
      <x:c r="AG276" s="15" t="n">
        <x:v>1100</x:v>
      </x:c>
      <x:c r="AH276" s="15" t="n">
        <x:v>780</x:v>
      </x:c>
      <x:c r="AI276" s="15" t="n">
        <x:v>427</x:v>
      </x:c>
    </x:row>
    <x:row r="277" ht="22" customHeight="1">
      <x:c r="A277" s="1" t="str">
        <x:v>310M700US36980</x:v>
      </x:c>
      <x:c r="B277" s="1" t="str">
        <x:v>36980</x:v>
      </x:c>
      <x:c r="C277" s="1" t="str">
        <x:v>Owensboro, KY Metro Area</x:v>
      </x:c>
      <x:c r="D277" s="5" t="n">
        <x:v>2024</x:v>
      </x:c>
      <x:c r="E277" s="1" t="str">
        <x:v>ok</x:v>
      </x:c>
      <x:c r="F277" s="15" t="n">
        <x:v>12705</x:v>
      </x:c>
      <x:c r="G277" s="15" t="n">
        <x:v>1951</x:v>
      </x:c>
      <x:c r="H277" s="15" t="n">
        <x:v>10754</x:v>
      </x:c>
      <x:c r="I277" s="15" t="n">
        <x:v>5008</x:v>
      </x:c>
      <x:c r="J277" s="15" t="n">
        <x:v>1718</x:v>
      </x:c>
      <x:c r="K277" s="15" t="n">
        <x:v>46.568719</x:v>
      </x:c>
      <x:c r="L277" s="15" t="n">
        <x:v>15.975451</x:v>
      </x:c>
      <x:c r="M277" s="15" t="n">
        <x:v>15.356159</x:v>
      </x:c>
      <x:c r="N277" s="15" t="n">
        <x:v>12705</x:v>
      </x:c>
      <x:c r="O277" s="15" t="n">
        <x:v>1588</x:v>
      </x:c>
      <x:c r="P277" s="15" t="n">
        <x:v>518</x:v>
      </x:c>
      <x:c r="Q277" s="15" t="n">
        <x:v>325</x:v>
      </x:c>
      <x:c r="R277" s="15" t="n">
        <x:v>1179</x:v>
      </x:c>
      <x:c r="S277" s="15" t="n">
        <x:v>694</x:v>
      </x:c>
      <x:c r="T277" s="15" t="n">
        <x:v>2273</x:v>
      </x:c>
      <x:c r="U277" s="15" t="n">
        <x:v>1065</x:v>
      </x:c>
      <x:c r="V277" s="15" t="n">
        <x:v>666</x:v>
      </x:c>
      <x:c r="W277" s="15" t="n">
        <x:v>397</x:v>
      </x:c>
      <x:c r="X277" s="15" t="n">
        <x:v>1110</x:v>
      </x:c>
      <x:c r="Y277" s="15" t="n">
        <x:v>702</x:v>
      </x:c>
      <x:c r="Z277" s="15" t="n">
        <x:v>1405</x:v>
      </x:c>
      <x:c r="AA277" s="15" t="n">
        <x:v>737</x:v>
      </x:c>
      <x:c r="AB277" s="15" t="n">
        <x:v>800</x:v>
      </x:c>
      <x:c r="AC277" s="15" t="n">
        <x:v>484</x:v>
      </x:c>
      <x:c r="AD277" s="15" t="n">
        <x:v>1085</x:v>
      </x:c>
      <x:c r="AE277" s="15" t="n">
        <x:v>737</x:v>
      </x:c>
      <x:c r="AF277" s="15" t="n">
        <x:v>1718</x:v>
      </x:c>
      <x:c r="AG277" s="15" t="n">
        <x:v>735</x:v>
      </x:c>
      <x:c r="AH277" s="15" t="n">
        <x:v>1951</x:v>
      </x:c>
      <x:c r="AI277" s="15" t="n">
        <x:v>1023</x:v>
      </x:c>
    </x:row>
    <x:row r="278" ht="22" customHeight="1">
      <x:c r="A278" s="1" t="str">
        <x:v>310M700US37100</x:v>
      </x:c>
      <x:c r="B278" s="1" t="str">
        <x:v>37100</x:v>
      </x:c>
      <x:c r="C278" s="1" t="str">
        <x:v>Oxnard-Thousand Oaks-Ventura, CA Metro Area</x:v>
      </x:c>
      <x:c r="D278" s="5" t="n">
        <x:v>2024</x:v>
      </x:c>
      <x:c r="E278" s="1" t="str">
        <x:v>ok</x:v>
      </x:c>
      <x:c r="F278" s="15" t="n">
        <x:v>96282</x:v>
      </x:c>
      <x:c r="G278" s="15" t="n">
        <x:v>3721</x:v>
      </x:c>
      <x:c r="H278" s="15" t="n">
        <x:v>92561</x:v>
      </x:c>
      <x:c r="I278" s="15" t="n">
        <x:v>52658</x:v>
      </x:c>
      <x:c r="J278" s="15" t="n">
        <x:v>25948</x:v>
      </x:c>
      <x:c r="K278" s="15" t="n">
        <x:v>56.890051</x:v>
      </x:c>
      <x:c r="L278" s="15" t="n">
        <x:v>28.033405</x:v>
      </x:c>
      <x:c r="M278" s="15" t="n">
        <x:v>3.864689</x:v>
      </x:c>
      <x:c r="N278" s="15" t="n">
        <x:v>96282</x:v>
      </x:c>
      <x:c r="O278" s="15" t="n">
        <x:v>4278</x:v>
      </x:c>
      <x:c r="P278" s="15" t="n">
        <x:v>2828</x:v>
      </x:c>
      <x:c r="Q278" s="15" t="n">
        <x:v>988</x:v>
      </x:c>
      <x:c r="R278" s="15" t="n">
        <x:v>6469</x:v>
      </x:c>
      <x:c r="S278" s="15" t="n">
        <x:v>1485</x:v>
      </x:c>
      <x:c r="T278" s="15" t="n">
        <x:v>9187</x:v>
      </x:c>
      <x:c r="U278" s="15" t="n">
        <x:v>1735</x:v>
      </x:c>
      <x:c r="V278" s="15" t="n">
        <x:v>12105</x:v>
      </x:c>
      <x:c r="W278" s="15" t="n">
        <x:v>1893</x:v>
      </x:c>
      <x:c r="X278" s="15" t="n">
        <x:v>9314</x:v>
      </x:c>
      <x:c r="Y278" s="15" t="n">
        <x:v>1812</x:v>
      </x:c>
      <x:c r="Z278" s="15" t="n">
        <x:v>9924</x:v>
      </x:c>
      <x:c r="AA278" s="15" t="n">
        <x:v>1842</x:v>
      </x:c>
      <x:c r="AB278" s="15" t="n">
        <x:v>8667</x:v>
      </x:c>
      <x:c r="AC278" s="15" t="n">
        <x:v>1909</x:v>
      </x:c>
      <x:c r="AD278" s="15" t="n">
        <x:v>8119</x:v>
      </x:c>
      <x:c r="AE278" s="15" t="n">
        <x:v>1606</x:v>
      </x:c>
      <x:c r="AF278" s="15" t="n">
        <x:v>25948</x:v>
      </x:c>
      <x:c r="AG278" s="15" t="n">
        <x:v>2880</x:v>
      </x:c>
      <x:c r="AH278" s="15" t="n">
        <x:v>3721</x:v>
      </x:c>
      <x:c r="AI278" s="15" t="n">
        <x:v>999</x:v>
      </x:c>
    </x:row>
    <x:row r="279" ht="22" customHeight="1">
      <x:c r="A279" s="1" t="str">
        <x:v>310M700US37140</x:v>
      </x:c>
      <x:c r="B279" s="1" t="str">
        <x:v>37140</x:v>
      </x:c>
      <x:c r="C279" s="1" t="str">
        <x:v>Paducah, KY-IL Metro Area</x:v>
      </x:c>
      <x:c r="D279" s="5" t="n">
        <x:v>2024</x:v>
      </x:c>
      <x:c r="E279" s="1" t="str">
        <x:v>ok</x:v>
      </x:c>
      <x:c r="F279" s="15" t="n">
        <x:v>12098</x:v>
      </x:c>
      <x:c r="G279" s="15" t="n">
        <x:v>1695</x:v>
      </x:c>
      <x:c r="H279" s="15" t="n">
        <x:v>10403</x:v>
      </x:c>
      <x:c r="I279" s="15" t="n">
        <x:v>4013</x:v>
      </x:c>
      <x:c r="J279" s="15" t="n">
        <x:v>2486</x:v>
      </x:c>
      <x:c r="K279" s="15" t="n">
        <x:v>38.575411</x:v>
      </x:c>
      <x:c r="L279" s="15" t="n">
        <x:v>23.896953</x:v>
      </x:c>
      <x:c r="M279" s="15" t="n">
        <x:v>14.01058</x:v>
      </x:c>
      <x:c r="N279" s="15" t="n">
        <x:v>12098</x:v>
      </x:c>
      <x:c r="O279" s="15" t="n">
        <x:v>1649</x:v>
      </x:c>
      <x:c r="P279" s="15" t="n">
        <x:v>868</x:v>
      </x:c>
      <x:c r="Q279" s="15" t="n">
        <x:v>536</x:v>
      </x:c>
      <x:c r="R279" s="15" t="n">
        <x:v>1879</x:v>
      </x:c>
      <x:c r="S279" s="15" t="n">
        <x:v>690</x:v>
      </x:c>
      <x:c r="T279" s="15" t="n">
        <x:v>1623</x:v>
      </x:c>
      <x:c r="U279" s="15" t="n">
        <x:v>590</x:v>
      </x:c>
      <x:c r="V279" s="15" t="n">
        <x:v>867</x:v>
      </x:c>
      <x:c r="W279" s="15" t="n">
        <x:v>525</x:v>
      </x:c>
      <x:c r="X279" s="15" t="n">
        <x:v>1153</x:v>
      </x:c>
      <x:c r="Y279" s="15" t="n">
        <x:v>479</x:v>
      </x:c>
      <x:c r="Z279" s="15" t="n">
        <x:v>508</x:v>
      </x:c>
      <x:c r="AA279" s="15" t="n">
        <x:v>353</x:v>
      </x:c>
      <x:c r="AB279" s="15" t="n">
        <x:v>498</x:v>
      </x:c>
      <x:c r="AC279" s="15" t="n">
        <x:v>386</x:v>
      </x:c>
      <x:c r="AD279" s="15" t="n">
        <x:v>521</x:v>
      </x:c>
      <x:c r="AE279" s="15" t="n">
        <x:v>416</x:v>
      </x:c>
      <x:c r="AF279" s="15" t="n">
        <x:v>2486</x:v>
      </x:c>
      <x:c r="AG279" s="15" t="n">
        <x:v>890</x:v>
      </x:c>
      <x:c r="AH279" s="15" t="n">
        <x:v>1695</x:v>
      </x:c>
      <x:c r="AI279" s="15" t="n">
        <x:v>684</x:v>
      </x:c>
    </x:row>
    <x:row r="280" ht="22" customHeight="1">
      <x:c r="A280" s="1" t="str">
        <x:v>310M700US37340</x:v>
      </x:c>
      <x:c r="B280" s="1" t="str">
        <x:v>37340</x:v>
      </x:c>
      <x:c r="C280" s="1" t="str">
        <x:v>Palm Bay-Melbourne-Titusville, FL Metro Area</x:v>
      </x:c>
      <x:c r="D280" s="5" t="n">
        <x:v>2024</x:v>
      </x:c>
      <x:c r="E280" s="1" t="str">
        <x:v>ok</x:v>
      </x:c>
      <x:c r="F280" s="15" t="n">
        <x:v>62326</x:v>
      </x:c>
      <x:c r="G280" s="15" t="n">
        <x:v>4312</x:v>
      </x:c>
      <x:c r="H280" s="15" t="n">
        <x:v>58014</x:v>
      </x:c>
      <x:c r="I280" s="15" t="n">
        <x:v>34093</x:v>
      </x:c>
      <x:c r="J280" s="15" t="n">
        <x:v>18434</x:v>
      </x:c>
      <x:c r="K280" s="15" t="n">
        <x:v>58.766849</x:v>
      </x:c>
      <x:c r="L280" s="15" t="n">
        <x:v>31.775089</x:v>
      </x:c>
      <x:c r="M280" s="15" t="n">
        <x:v>6.918461</x:v>
      </x:c>
      <x:c r="N280" s="15" t="n">
        <x:v>62326</x:v>
      </x:c>
      <x:c r="O280" s="15" t="n">
        <x:v>3872</x:v>
      </x:c>
      <x:c r="P280" s="15" t="n">
        <x:v>1577</x:v>
      </x:c>
      <x:c r="Q280" s="15" t="n">
        <x:v>655</x:v>
      </x:c>
      <x:c r="R280" s="15" t="n">
        <x:v>3662</x:v>
      </x:c>
      <x:c r="S280" s="15" t="n">
        <x:v>1138</x:v>
      </x:c>
      <x:c r="T280" s="15" t="n">
        <x:v>5551</x:v>
      </x:c>
      <x:c r="U280" s="15" t="n">
        <x:v>1393</x:v>
      </x:c>
      <x:c r="V280" s="15" t="n">
        <x:v>6956</x:v>
      </x:c>
      <x:c r="W280" s="15" t="n">
        <x:v>1545</x:v>
      </x:c>
      <x:c r="X280" s="15" t="n">
        <x:v>6175</x:v>
      </x:c>
      <x:c r="Y280" s="15" t="n">
        <x:v>1491</x:v>
      </x:c>
      <x:c r="Z280" s="15" t="n">
        <x:v>5141</x:v>
      </x:c>
      <x:c r="AA280" s="15" t="n">
        <x:v>1268</x:v>
      </x:c>
      <x:c r="AB280" s="15" t="n">
        <x:v>3995</x:v>
      </x:c>
      <x:c r="AC280" s="15" t="n">
        <x:v>1033</x:v>
      </x:c>
      <x:c r="AD280" s="15" t="n">
        <x:v>6523</x:v>
      </x:c>
      <x:c r="AE280" s="15" t="n">
        <x:v>1700</x:v>
      </x:c>
      <x:c r="AF280" s="15" t="n">
        <x:v>18434</x:v>
      </x:c>
      <x:c r="AG280" s="15" t="n">
        <x:v>2542</x:v>
      </x:c>
      <x:c r="AH280" s="15" t="n">
        <x:v>4312</x:v>
      </x:c>
      <x:c r="AI280" s="15" t="n">
        <x:v>1184</x:v>
      </x:c>
    </x:row>
    <x:row r="281" ht="22" customHeight="1">
      <x:c r="A281" s="1" t="str">
        <x:v>310M700US37460</x:v>
      </x:c>
      <x:c r="B281" s="1" t="str">
        <x:v>37460</x:v>
      </x:c>
      <x:c r="C281" s="1" t="str">
        <x:v>Panama City-Panama City Beach, FL Metro Area</x:v>
      </x:c>
      <x:c r="D281" s="5" t="n">
        <x:v>2024</x:v>
      </x:c>
      <x:c r="E281" s="1" t="str">
        <x:v>ok</x:v>
      </x:c>
      <x:c r="F281" s="15" t="n">
        <x:v>30598</x:v>
      </x:c>
      <x:c r="G281" s="15" t="n">
        <x:v>2181</x:v>
      </x:c>
      <x:c r="H281" s="15" t="n">
        <x:v>28417</x:v>
      </x:c>
      <x:c r="I281" s="15" t="n">
        <x:v>16278</x:v>
      </x:c>
      <x:c r="J281" s="15" t="n">
        <x:v>6716</x:v>
      </x:c>
      <x:c r="K281" s="15" t="n">
        <x:v>57.282613</x:v>
      </x:c>
      <x:c r="L281" s="15" t="n">
        <x:v>23.63374</x:v>
      </x:c>
      <x:c r="M281" s="15" t="n">
        <x:v>7.127917</x:v>
      </x:c>
      <x:c r="N281" s="15" t="n">
        <x:v>30598</x:v>
      </x:c>
      <x:c r="O281" s="15" t="n">
        <x:v>3182</x:v>
      </x:c>
      <x:c r="P281" s="15" t="n">
        <x:v>180</x:v>
      </x:c>
      <x:c r="Q281" s="15" t="n">
        <x:v>139</x:v>
      </x:c>
      <x:c r="R281" s="15" t="n">
        <x:v>2823</x:v>
      </x:c>
      <x:c r="S281" s="15" t="n">
        <x:v>1476</x:v>
      </x:c>
      <x:c r="T281" s="15" t="n">
        <x:v>2589</x:v>
      </x:c>
      <x:c r="U281" s="15" t="n">
        <x:v>1109</x:v>
      </x:c>
      <x:c r="V281" s="15" t="n">
        <x:v>4439</x:v>
      </x:c>
      <x:c r="W281" s="15" t="n">
        <x:v>1431</x:v>
      </x:c>
      <x:c r="X281" s="15" t="n">
        <x:v>2108</x:v>
      </x:c>
      <x:c r="Y281" s="15" t="n">
        <x:v>1188</x:v>
      </x:c>
      <x:c r="Z281" s="15" t="n">
        <x:v>3001</x:v>
      </x:c>
      <x:c r="AA281" s="15" t="n">
        <x:v>1040</x:v>
      </x:c>
      <x:c r="AB281" s="15" t="n">
        <x:v>2471</x:v>
      </x:c>
      <x:c r="AC281" s="15" t="n">
        <x:v>1149</x:v>
      </x:c>
      <x:c r="AD281" s="15" t="n">
        <x:v>4090</x:v>
      </x:c>
      <x:c r="AE281" s="15" t="n">
        <x:v>1323</x:v>
      </x:c>
      <x:c r="AF281" s="15" t="n">
        <x:v>6716</x:v>
      </x:c>
      <x:c r="AG281" s="15" t="n">
        <x:v>1674</x:v>
      </x:c>
      <x:c r="AH281" s="15" t="n">
        <x:v>2181</x:v>
      </x:c>
      <x:c r="AI281" s="15" t="n">
        <x:v>897</x:v>
      </x:c>
    </x:row>
    <x:row r="282" ht="22" customHeight="1">
      <x:c r="A282" s="1" t="str">
        <x:v>310M700US37620</x:v>
      </x:c>
      <x:c r="B282" s="1" t="str">
        <x:v>37620</x:v>
      </x:c>
      <x:c r="C282" s="1" t="str">
        <x:v>Parkersburg-Vienna, WV Metro Area</x:v>
      </x:c>
      <x:c r="D282" s="5" t="n">
        <x:v>2024</x:v>
      </x:c>
      <x:c r="E282" s="1" t="str">
        <x:v>ok</x:v>
      </x:c>
      <x:c r="F282" s="15" t="n">
        <x:v>9265</x:v>
      </x:c>
      <x:c r="G282" s="15" t="n">
        <x:v>924</x:v>
      </x:c>
      <x:c r="H282" s="15" t="n">
        <x:v>8341</x:v>
      </x:c>
      <x:c r="I282" s="15" t="n">
        <x:v>4173</x:v>
      </x:c>
      <x:c r="J282" s="15" t="n">
        <x:v>1874</x:v>
      </x:c>
      <x:c r="K282" s="15" t="n">
        <x:v>50.029972</x:v>
      </x:c>
      <x:c r="L282" s="15" t="n">
        <x:v>22.46733</x:v>
      </x:c>
      <x:c r="M282" s="15" t="n">
        <x:v>9.973017</x:v>
      </x:c>
      <x:c r="N282" s="15" t="n">
        <x:v>9265</x:v>
      </x:c>
      <x:c r="O282" s="15" t="n">
        <x:v>1394</x:v>
      </x:c>
      <x:c r="P282" s="15" t="n">
        <x:v>413</x:v>
      </x:c>
      <x:c r="Q282" s="15" t="n">
        <x:v>251</x:v>
      </x:c>
      <x:c r="R282" s="15" t="n">
        <x:v>937</x:v>
      </x:c>
      <x:c r="S282" s="15" t="n">
        <x:v>507</x:v>
      </x:c>
      <x:c r="T282" s="15" t="n">
        <x:v>689</x:v>
      </x:c>
      <x:c r="U282" s="15" t="n">
        <x:v>380</x:v>
      </x:c>
      <x:c r="V282" s="15" t="n">
        <x:v>1263</x:v>
      </x:c>
      <x:c r="W282" s="15" t="n">
        <x:v>573</x:v>
      </x:c>
      <x:c r="X282" s="15" t="n">
        <x:v>866</x:v>
      </x:c>
      <x:c r="Y282" s="15" t="n">
        <x:v>408</x:v>
      </x:c>
      <x:c r="Z282" s="15" t="n">
        <x:v>908</x:v>
      </x:c>
      <x:c r="AA282" s="15" t="n">
        <x:v>480</x:v>
      </x:c>
      <x:c r="AB282" s="15" t="n">
        <x:v>710</x:v>
      </x:c>
      <x:c r="AC282" s="15" t="n">
        <x:v>507</x:v>
      </x:c>
      <x:c r="AD282" s="15" t="n">
        <x:v>681</x:v>
      </x:c>
      <x:c r="AE282" s="15" t="n">
        <x:v>445</x:v>
      </x:c>
      <x:c r="AF282" s="15" t="n">
        <x:v>1874</x:v>
      </x:c>
      <x:c r="AG282" s="15" t="n">
        <x:v>698</x:v>
      </x:c>
      <x:c r="AH282" s="15" t="n">
        <x:v>924</x:v>
      </x:c>
      <x:c r="AI282" s="15" t="n">
        <x:v>492</x:v>
      </x:c>
    </x:row>
    <x:row r="283" ht="22" customHeight="1">
      <x:c r="A283" s="1" t="str">
        <x:v>310M700US37860</x:v>
      </x:c>
      <x:c r="B283" s="1" t="str">
        <x:v>37860</x:v>
      </x:c>
      <x:c r="C283" s="1" t="str">
        <x:v>Pensacola-Ferry Pass-Brent, FL Metro Area</x:v>
      </x:c>
      <x:c r="D283" s="5" t="n">
        <x:v>2024</x:v>
      </x:c>
      <x:c r="E283" s="1" t="str">
        <x:v>ok</x:v>
      </x:c>
      <x:c r="F283" s="15" t="n">
        <x:v>58097</x:v>
      </x:c>
      <x:c r="G283" s="15" t="n">
        <x:v>6970</x:v>
      </x:c>
      <x:c r="H283" s="15" t="n">
        <x:v>51127</x:v>
      </x:c>
      <x:c r="I283" s="15" t="n">
        <x:v>29845</x:v>
      </x:c>
      <x:c r="J283" s="15" t="n">
        <x:v>11775</x:v>
      </x:c>
      <x:c r="K283" s="15" t="n">
        <x:v>58.374245</x:v>
      </x:c>
      <x:c r="L283" s="15" t="n">
        <x:v>23.030884</x:v>
      </x:c>
      <x:c r="M283" s="15" t="n">
        <x:v>11.997177</x:v>
      </x:c>
      <x:c r="N283" s="15" t="n">
        <x:v>58097</x:v>
      </x:c>
      <x:c r="O283" s="15" t="n">
        <x:v>3832</x:v>
      </x:c>
      <x:c r="P283" s="15" t="n">
        <x:v>913</x:v>
      </x:c>
      <x:c r="Q283" s="15" t="n">
        <x:v>665</x:v>
      </x:c>
      <x:c r="R283" s="15" t="n">
        <x:v>3757</x:v>
      </x:c>
      <x:c r="S283" s="15" t="n">
        <x:v>1065</x:v>
      </x:c>
      <x:c r="T283" s="15" t="n">
        <x:v>4179</x:v>
      </x:c>
      <x:c r="U283" s="15" t="n">
        <x:v>1409</x:v>
      </x:c>
      <x:c r="V283" s="15" t="n">
        <x:v>7227</x:v>
      </x:c>
      <x:c r="W283" s="15" t="n">
        <x:v>1925</x:v>
      </x:c>
      <x:c r="X283" s="15" t="n">
        <x:v>5206</x:v>
      </x:c>
      <x:c r="Y283" s="15" t="n">
        <x:v>1483</x:v>
      </x:c>
      <x:c r="Z283" s="15" t="n">
        <x:v>6365</x:v>
      </x:c>
      <x:c r="AA283" s="15" t="n">
        <x:v>1541</x:v>
      </x:c>
      <x:c r="AB283" s="15" t="n">
        <x:v>4496</x:v>
      </x:c>
      <x:c r="AC283" s="15" t="n">
        <x:v>1521</x:v>
      </x:c>
      <x:c r="AD283" s="15" t="n">
        <x:v>7209</x:v>
      </x:c>
      <x:c r="AE283" s="15" t="n">
        <x:v>1841</x:v>
      </x:c>
      <x:c r="AF283" s="15" t="n">
        <x:v>11775</x:v>
      </x:c>
      <x:c r="AG283" s="15" t="n">
        <x:v>2158</x:v>
      </x:c>
      <x:c r="AH283" s="15" t="n">
        <x:v>6970</x:v>
      </x:c>
      <x:c r="AI283" s="15" t="n">
        <x:v>1735</x:v>
      </x:c>
    </x:row>
    <x:row r="284" ht="22" customHeight="1">
      <x:c r="A284" s="1" t="str">
        <x:v>310M700US37900</x:v>
      </x:c>
      <x:c r="B284" s="1" t="str">
        <x:v>37900</x:v>
      </x:c>
      <x:c r="C284" s="1" t="str">
        <x:v>Peoria, IL Metro Area</x:v>
      </x:c>
      <x:c r="D284" s="5" t="n">
        <x:v>2024</x:v>
      </x:c>
      <x:c r="E284" s="1" t="str">
        <x:v>ok</x:v>
      </x:c>
      <x:c r="F284" s="15" t="n">
        <x:v>38045</x:v>
      </x:c>
      <x:c r="G284" s="15" t="n">
        <x:v>3180</x:v>
      </x:c>
      <x:c r="H284" s="15" t="n">
        <x:v>34865</x:v>
      </x:c>
      <x:c r="I284" s="15" t="n">
        <x:v>14973</x:v>
      </x:c>
      <x:c r="J284" s="15" t="n">
        <x:v>6970</x:v>
      </x:c>
      <x:c r="K284" s="15" t="n">
        <x:v>42.945647</x:v>
      </x:c>
      <x:c r="L284" s="15" t="n">
        <x:v>19.991395</x:v>
      </x:c>
      <x:c r="M284" s="15" t="n">
        <x:v>8.358523</x:v>
      </x:c>
      <x:c r="N284" s="15" t="n">
        <x:v>38045</x:v>
      </x:c>
      <x:c r="O284" s="15" t="n">
        <x:v>3051</x:v>
      </x:c>
      <x:c r="P284" s="15" t="n">
        <x:v>1572</x:v>
      </x:c>
      <x:c r="Q284" s="15" t="n">
        <x:v>680</x:v>
      </x:c>
      <x:c r="R284" s="15" t="n">
        <x:v>4251</x:v>
      </x:c>
      <x:c r="S284" s="15" t="n">
        <x:v>1550</x:v>
      </x:c>
      <x:c r="T284" s="15" t="n">
        <x:v>4356</x:v>
      </x:c>
      <x:c r="U284" s="15" t="n">
        <x:v>1173</x:v>
      </x:c>
      <x:c r="V284" s="15" t="n">
        <x:v>6881</x:v>
      </x:c>
      <x:c r="W284" s="15" t="n">
        <x:v>1715</x:v>
      </x:c>
      <x:c r="X284" s="15" t="n">
        <x:v>2832</x:v>
      </x:c>
      <x:c r="Y284" s="15" t="n">
        <x:v>782</x:v>
      </x:c>
      <x:c r="Z284" s="15" t="n">
        <x:v>2159</x:v>
      </x:c>
      <x:c r="AA284" s="15" t="n">
        <x:v>792</x:v>
      </x:c>
      <x:c r="AB284" s="15" t="n">
        <x:v>2241</x:v>
      </x:c>
      <x:c r="AC284" s="15" t="n">
        <x:v>1020</x:v>
      </x:c>
      <x:c r="AD284" s="15" t="n">
        <x:v>3603</x:v>
      </x:c>
      <x:c r="AE284" s="15" t="n">
        <x:v>1085</x:v>
      </x:c>
      <x:c r="AF284" s="15" t="n">
        <x:v>6970</x:v>
      </x:c>
      <x:c r="AG284" s="15" t="n">
        <x:v>1817</x:v>
      </x:c>
      <x:c r="AH284" s="15" t="n">
        <x:v>3180</x:v>
      </x:c>
      <x:c r="AI284" s="15" t="n">
        <x:v>1161</x:v>
      </x:c>
    </x:row>
    <x:row r="285" ht="22" customHeight="1">
      <x:c r="A285" s="1" t="str">
        <x:v>310M700US37980</x:v>
      </x:c>
      <x:c r="B285" s="1" t="str">
        <x:v>37980</x:v>
      </x:c>
      <x:c r="C285" s="1" t="str">
        <x:v>Philadelphia-Camden-Wilmington, PA-NJ-DE-MD Metro Area</x:v>
      </x:c>
      <x:c r="D285" s="5" t="n">
        <x:v>2024</x:v>
      </x:c>
      <x:c r="E285" s="1" t="str">
        <x:v>ok</x:v>
      </x:c>
      <x:c r="F285" s="15" t="n">
        <x:v>830097</x:v>
      </x:c>
      <x:c r="G285" s="15" t="n">
        <x:v>46721</x:v>
      </x:c>
      <x:c r="H285" s="15" t="n">
        <x:v>783376</x:v>
      </x:c>
      <x:c r="I285" s="15" t="n">
        <x:v>412482</x:v>
      </x:c>
      <x:c r="J285" s="15" t="n">
        <x:v>231936</x:v>
      </x:c>
      <x:c r="K285" s="15" t="n">
        <x:v>52.654409</x:v>
      </x:c>
      <x:c r="L285" s="15" t="n">
        <x:v>29.607238</x:v>
      </x:c>
      <x:c r="M285" s="15" t="n">
        <x:v>5.628378</x:v>
      </x:c>
      <x:c r="N285" s="15" t="n">
        <x:v>830097</x:v>
      </x:c>
      <x:c r="O285" s="15" t="n">
        <x:v>14535</x:v>
      </x:c>
      <x:c r="P285" s="15" t="n">
        <x:v>27777</x:v>
      </x:c>
      <x:c r="Q285" s="15" t="n">
        <x:v>3311</x:v>
      </x:c>
      <x:c r="R285" s="15" t="n">
        <x:v>60527</x:v>
      </x:c>
      <x:c r="S285" s="15" t="n">
        <x:v>5677</x:v>
      </x:c>
      <x:c r="T285" s="15" t="n">
        <x:v>91857</x:v>
      </x:c>
      <x:c r="U285" s="15" t="n">
        <x:v>6940</x:v>
      </x:c>
      <x:c r="V285" s="15" t="n">
        <x:v>105634</x:v>
      </x:c>
      <x:c r="W285" s="15" t="n">
        <x:v>6597</x:v>
      </x:c>
      <x:c r="X285" s="15" t="n">
        <x:v>85099</x:v>
      </x:c>
      <x:c r="Y285" s="15" t="n">
        <x:v>6177</x:v>
      </x:c>
      <x:c r="Z285" s="15" t="n">
        <x:v>64797</x:v>
      </x:c>
      <x:c r="AA285" s="15" t="n">
        <x:v>5942</x:v>
      </x:c>
      <x:c r="AB285" s="15" t="n">
        <x:v>47435</x:v>
      </x:c>
      <x:c r="AC285" s="15" t="n">
        <x:v>5915</x:v>
      </x:c>
      <x:c r="AD285" s="15" t="n">
        <x:v>68314</x:v>
      </x:c>
      <x:c r="AE285" s="15" t="n">
        <x:v>6940</x:v>
      </x:c>
      <x:c r="AF285" s="15" t="n">
        <x:v>231936</x:v>
      </x:c>
      <x:c r="AG285" s="15" t="n">
        <x:v>12074</x:v>
      </x:c>
      <x:c r="AH285" s="15" t="n">
        <x:v>46721</x:v>
      </x:c>
      <x:c r="AI285" s="15" t="n">
        <x:v>5083</x:v>
      </x:c>
    </x:row>
    <x:row r="286" ht="22" customHeight="1">
      <x:c r="A286" s="1" t="str">
        <x:v>310M700US38060</x:v>
      </x:c>
      <x:c r="B286" s="1" t="str">
        <x:v>38060</x:v>
      </x:c>
      <x:c r="C286" s="1" t="str">
        <x:v>Phoenix-Mesa-Chandler, AZ Metro Area</x:v>
      </x:c>
      <x:c r="D286" s="5" t="n">
        <x:v>2024</x:v>
      </x:c>
      <x:c r="E286" s="1" t="str">
        <x:v>ok</x:v>
      </x:c>
      <x:c r="F286" s="15" t="n">
        <x:v>658635</x:v>
      </x:c>
      <x:c r="G286" s="15" t="n">
        <x:v>34120</x:v>
      </x:c>
      <x:c r="H286" s="15" t="n">
        <x:v>624515</x:v>
      </x:c>
      <x:c r="I286" s="15" t="n">
        <x:v>337274</x:v>
      </x:c>
      <x:c r="J286" s="15" t="n">
        <x:v>160728</x:v>
      </x:c>
      <x:c r="K286" s="15" t="n">
        <x:v>54.005748</x:v>
      </x:c>
      <x:c r="L286" s="15" t="n">
        <x:v>25.736451</x:v>
      </x:c>
      <x:c r="M286" s="15" t="n">
        <x:v>5.180411</x:v>
      </x:c>
      <x:c r="N286" s="15" t="n">
        <x:v>658635</x:v>
      </x:c>
      <x:c r="O286" s="15" t="n">
        <x:v>14373</x:v>
      </x:c>
      <x:c r="P286" s="15" t="n">
        <x:v>16422</x:v>
      </x:c>
      <x:c r="Q286" s="15" t="n">
        <x:v>3156</x:v>
      </x:c>
      <x:c r="R286" s="15" t="n">
        <x:v>43792</x:v>
      </x:c>
      <x:c r="S286" s="15" t="n">
        <x:v>4233</x:v>
      </x:c>
      <x:c r="T286" s="15" t="n">
        <x:v>71699</x:v>
      </x:c>
      <x:c r="U286" s="15" t="n">
        <x:v>6575</x:v>
      </x:c>
      <x:c r="V286" s="15" t="n">
        <x:v>81312</x:v>
      </x:c>
      <x:c r="W286" s="15" t="n">
        <x:v>6116</x:v>
      </x:c>
      <x:c r="X286" s="15" t="n">
        <x:v>74016</x:v>
      </x:c>
      <x:c r="Y286" s="15" t="n">
        <x:v>5701</x:v>
      </x:c>
      <x:c r="Z286" s="15" t="n">
        <x:v>65179</x:v>
      </x:c>
      <x:c r="AA286" s="15" t="n">
        <x:v>5511</x:v>
      </x:c>
      <x:c r="AB286" s="15" t="n">
        <x:v>45477</x:v>
      </x:c>
      <x:c r="AC286" s="15" t="n">
        <x:v>4478</x:v>
      </x:c>
      <x:c r="AD286" s="15" t="n">
        <x:v>65890</x:v>
      </x:c>
      <x:c r="AE286" s="15" t="n">
        <x:v>5358</x:v>
      </x:c>
      <x:c r="AF286" s="15" t="n">
        <x:v>160728</x:v>
      </x:c>
      <x:c r="AG286" s="15" t="n">
        <x:v>9132</x:v>
      </x:c>
      <x:c r="AH286" s="15" t="n">
        <x:v>34120</x:v>
      </x:c>
      <x:c r="AI286" s="15" t="n">
        <x:v>4288</x:v>
      </x:c>
    </x:row>
    <x:row r="287" ht="22" customHeight="1">
      <x:c r="A287" s="1" t="str">
        <x:v>310M700US38240</x:v>
      </x:c>
      <x:c r="B287" s="1" t="str">
        <x:v>38240</x:v>
      </x:c>
      <x:c r="C287" s="1" t="str">
        <x:v>Pinehurst-Southern Pines, NC Metro Area</x:v>
      </x:c>
      <x:c r="D287" s="5" t="n">
        <x:v>2024</x:v>
      </x:c>
      <x:c r="E287" s="1" t="str">
        <x:v>ok</x:v>
      </x:c>
      <x:c r="F287" s="15" t="n">
        <x:v>11094</x:v>
      </x:c>
      <x:c r="G287" s="15" t="n">
        <x:v>2144</x:v>
      </x:c>
      <x:c r="H287" s="15" t="n">
        <x:v>8950</x:v>
      </x:c>
      <x:c r="I287" s="15" t="n">
        <x:v>4369</x:v>
      </x:c>
      <x:c r="J287" s="15" t="n">
        <x:v>1357</x:v>
      </x:c>
      <x:c r="K287" s="15" t="n">
        <x:v>48.815642</x:v>
      </x:c>
      <x:c r="L287" s="15" t="n">
        <x:v>15.162011</x:v>
      </x:c>
      <x:c r="M287" s="15" t="n">
        <x:v>19.325762</x:v>
      </x:c>
      <x:c r="N287" s="15" t="n">
        <x:v>11094</x:v>
      </x:c>
      <x:c r="O287" s="15" t="n">
        <x:v>1893</x:v>
      </x:c>
      <x:c r="P287" s="15" t="n">
        <x:v>154</x:v>
      </x:c>
      <x:c r="Q287" s="15" t="n">
        <x:v>223</x:v>
      </x:c>
      <x:c r="R287" s="15" t="n">
        <x:v>1001</x:v>
      </x:c>
      <x:c r="S287" s="15" t="n">
        <x:v>695</x:v>
      </x:c>
      <x:c r="T287" s="15" t="n">
        <x:v>953</x:v>
      </x:c>
      <x:c r="U287" s="15" t="n">
        <x:v>412</x:v>
      </x:c>
      <x:c r="V287" s="15" t="n">
        <x:v>1005</x:v>
      </x:c>
      <x:c r="W287" s="15" t="n">
        <x:v>571</x:v>
      </x:c>
      <x:c r="X287" s="15" t="n">
        <x:v>1468</x:v>
      </x:c>
      <x:c r="Y287" s="15" t="n">
        <x:v>939</x:v>
      </x:c>
      <x:c r="Z287" s="15" t="n">
        <x:v>695</x:v>
      </x:c>
      <x:c r="AA287" s="15" t="n">
        <x:v>635</x:v>
      </x:c>
      <x:c r="AB287" s="15" t="n">
        <x:v>955</x:v>
      </x:c>
      <x:c r="AC287" s="15" t="n">
        <x:v>599</x:v>
      </x:c>
      <x:c r="AD287" s="15" t="n">
        <x:v>1362</x:v>
      </x:c>
      <x:c r="AE287" s="15" t="n">
        <x:v>809</x:v>
      </x:c>
      <x:c r="AF287" s="15" t="n">
        <x:v>1357</x:v>
      </x:c>
      <x:c r="AG287" s="15" t="n">
        <x:v>605</x:v>
      </x:c>
      <x:c r="AH287" s="15" t="n">
        <x:v>2144</x:v>
      </x:c>
      <x:c r="AI287" s="15" t="n">
        <x:v>953</x:v>
      </x:c>
    </x:row>
    <x:row r="288" ht="22" customHeight="1">
      <x:c r="A288" s="1" t="str">
        <x:v>310M700US38300</x:v>
      </x:c>
      <x:c r="B288" s="1" t="str">
        <x:v>38300</x:v>
      </x:c>
      <x:c r="C288" s="1" t="str">
        <x:v>Pittsburgh, PA Metro Area</x:v>
      </x:c>
      <x:c r="D288" s="5" t="n">
        <x:v>2024</x:v>
      </x:c>
      <x:c r="E288" s="1" t="str">
        <x:v>ok</x:v>
      </x:c>
      <x:c r="F288" s="15" t="n">
        <x:v>311288</x:v>
      </x:c>
      <x:c r="G288" s="15" t="n">
        <x:v>23523</x:v>
      </x:c>
      <x:c r="H288" s="15" t="n">
        <x:v>287765</x:v>
      </x:c>
      <x:c r="I288" s="15" t="n">
        <x:v>129243</x:v>
      </x:c>
      <x:c r="J288" s="15" t="n">
        <x:v>67157</x:v>
      </x:c>
      <x:c r="K288" s="15" t="n">
        <x:v>44.912689</x:v>
      </x:c>
      <x:c r="L288" s="15" t="n">
        <x:v>23.337445</x:v>
      </x:c>
      <x:c r="M288" s="15" t="n">
        <x:v>7.556668</x:v>
      </x:c>
      <x:c r="N288" s="15" t="n">
        <x:v>311288</x:v>
      </x:c>
      <x:c r="O288" s="15" t="n">
        <x:v>7069</x:v>
      </x:c>
      <x:c r="P288" s="15" t="n">
        <x:v>15051</x:v>
      </x:c>
      <x:c r="Q288" s="15" t="n">
        <x:v>2092</x:v>
      </x:c>
      <x:c r="R288" s="15" t="n">
        <x:v>29704</x:v>
      </x:c>
      <x:c r="S288" s="15" t="n">
        <x:v>3348</x:v>
      </x:c>
      <x:c r="T288" s="15" t="n">
        <x:v>41724</x:v>
      </x:c>
      <x:c r="U288" s="15" t="n">
        <x:v>2903</x:v>
      </x:c>
      <x:c r="V288" s="15" t="n">
        <x:v>38298</x:v>
      </x:c>
      <x:c r="W288" s="15" t="n">
        <x:v>3756</x:v>
      </x:c>
      <x:c r="X288" s="15" t="n">
        <x:v>33745</x:v>
      </x:c>
      <x:c r="Y288" s="15" t="n">
        <x:v>2815</x:v>
      </x:c>
      <x:c r="Z288" s="15" t="n">
        <x:v>23868</x:v>
      </x:c>
      <x:c r="AA288" s="15" t="n">
        <x:v>2448</x:v>
      </x:c>
      <x:c r="AB288" s="15" t="n">
        <x:v>19143</x:v>
      </x:c>
      <x:c r="AC288" s="15" t="n">
        <x:v>2454</x:v>
      </x:c>
      <x:c r="AD288" s="15" t="n">
        <x:v>19075</x:v>
      </x:c>
      <x:c r="AE288" s="15" t="n">
        <x:v>2871</x:v>
      </x:c>
      <x:c r="AF288" s="15" t="n">
        <x:v>67157</x:v>
      </x:c>
      <x:c r="AG288" s="15" t="n">
        <x:v>4191</x:v>
      </x:c>
      <x:c r="AH288" s="15" t="n">
        <x:v>23523</x:v>
      </x:c>
      <x:c r="AI288" s="15" t="n">
        <x:v>2679</x:v>
      </x:c>
    </x:row>
    <x:row r="289" ht="22" customHeight="1">
      <x:c r="A289" s="1" t="str">
        <x:v>310M700US38340</x:v>
      </x:c>
      <x:c r="B289" s="1" t="str">
        <x:v>38340</x:v>
      </x:c>
      <x:c r="C289" s="1" t="str">
        <x:v>Pittsfield, MA Metro Area</x:v>
      </x:c>
      <x:c r="D289" s="5" t="n">
        <x:v>2024</x:v>
      </x:c>
      <x:c r="E289" s="1" t="str">
        <x:v>ok</x:v>
      </x:c>
      <x:c r="F289" s="15" t="n">
        <x:v>17634</x:v>
      </x:c>
      <x:c r="G289" s="15" t="n">
        <x:v>1584</x:v>
      </x:c>
      <x:c r="H289" s="15" t="n">
        <x:v>16050</x:v>
      </x:c>
      <x:c r="I289" s="15" t="n">
        <x:v>8171</x:v>
      </x:c>
      <x:c r="J289" s="15" t="n">
        <x:v>3486</x:v>
      </x:c>
      <x:c r="K289" s="15" t="n">
        <x:v>50.909657</x:v>
      </x:c>
      <x:c r="L289" s="15" t="n">
        <x:v>21.719626</x:v>
      </x:c>
      <x:c r="M289" s="15" t="n">
        <x:v>8.982647</x:v>
      </x:c>
      <x:c r="N289" s="15" t="n">
        <x:v>17634</x:v>
      </x:c>
      <x:c r="O289" s="15" t="n">
        <x:v>2116</x:v>
      </x:c>
      <x:c r="P289" s="15" t="n">
        <x:v>60</x:v>
      </x:c>
      <x:c r="Q289" s="15" t="n">
        <x:v>101</x:v>
      </x:c>
      <x:c r="R289" s="15" t="n">
        <x:v>1506</x:v>
      </x:c>
      <x:c r="S289" s="15" t="n">
        <x:v>751</x:v>
      </x:c>
      <x:c r="T289" s="15" t="n">
        <x:v>2311</x:v>
      </x:c>
      <x:c r="U289" s="15" t="n">
        <x:v>965</x:v>
      </x:c>
      <x:c r="V289" s="15" t="n">
        <x:v>1667</x:v>
      </x:c>
      <x:c r="W289" s="15" t="n">
        <x:v>967</x:v>
      </x:c>
      <x:c r="X289" s="15" t="n">
        <x:v>2335</x:v>
      </x:c>
      <x:c r="Y289" s="15" t="n">
        <x:v>964</x:v>
      </x:c>
      <x:c r="Z289" s="15" t="n">
        <x:v>1866</x:v>
      </x:c>
      <x:c r="AA289" s="15" t="n">
        <x:v>690</x:v>
      </x:c>
      <x:c r="AB289" s="15" t="n">
        <x:v>498</x:v>
      </x:c>
      <x:c r="AC289" s="15" t="n">
        <x:v>485</x:v>
      </x:c>
      <x:c r="AD289" s="15" t="n">
        <x:v>2321</x:v>
      </x:c>
      <x:c r="AE289" s="15" t="n">
        <x:v>915</x:v>
      </x:c>
      <x:c r="AF289" s="15" t="n">
        <x:v>3486</x:v>
      </x:c>
      <x:c r="AG289" s="15" t="n">
        <x:v>1165</x:v>
      </x:c>
      <x:c r="AH289" s="15" t="n">
        <x:v>1584</x:v>
      </x:c>
      <x:c r="AI289" s="15" t="n">
        <x:v>635</x:v>
      </x:c>
    </x:row>
    <x:row r="290" ht="22" customHeight="1">
      <x:c r="A290" s="1" t="str">
        <x:v>310M700US38540</x:v>
      </x:c>
      <x:c r="B290" s="1" t="str">
        <x:v>38540</x:v>
      </x:c>
      <x:c r="C290" s="1" t="str">
        <x:v>Pocatello, ID Metro Area</x:v>
      </x:c>
      <x:c r="D290" s="5" t="n">
        <x:v>2024</x:v>
      </x:c>
      <x:c r="E290" s="1" t="str">
        <x:v>ok</x:v>
      </x:c>
      <x:c r="F290" s="15" t="n">
        <x:v>9093</x:v>
      </x:c>
      <x:c r="G290" s="15" t="n">
        <x:v>243</x:v>
      </x:c>
      <x:c r="H290" s="15" t="n">
        <x:v>8850</x:v>
      </x:c>
      <x:c r="I290" s="15" t="n">
        <x:v>4350</x:v>
      </x:c>
      <x:c r="J290" s="15" t="n">
        <x:v>2462</x:v>
      </x:c>
      <x:c r="K290" s="15" t="n">
        <x:v>49.152542</x:v>
      </x:c>
      <x:c r="L290" s="15" t="n">
        <x:v>27.819209</x:v>
      </x:c>
      <x:c r="M290" s="15" t="n">
        <x:v>2.672385</x:v>
      </x:c>
      <x:c r="N290" s="15" t="n">
        <x:v>9093</x:v>
      </x:c>
      <x:c r="O290" s="15" t="n">
        <x:v>1273</x:v>
      </x:c>
      <x:c r="P290" s="15" t="n">
        <x:v>286</x:v>
      </x:c>
      <x:c r="Q290" s="15" t="n">
        <x:v>253</x:v>
      </x:c>
      <x:c r="R290" s="15" t="n">
        <x:v>793</x:v>
      </x:c>
      <x:c r="S290" s="15" t="n">
        <x:v>536</x:v>
      </x:c>
      <x:c r="T290" s="15" t="n">
        <x:v>1143</x:v>
      </x:c>
      <x:c r="U290" s="15" t="n">
        <x:v>570</x:v>
      </x:c>
      <x:c r="V290" s="15" t="n">
        <x:v>887</x:v>
      </x:c>
      <x:c r="W290" s="15" t="n">
        <x:v>434</x:v>
      </x:c>
      <x:c r="X290" s="15" t="n">
        <x:v>1391</x:v>
      </x:c>
      <x:c r="Y290" s="15" t="n">
        <x:v>691</x:v>
      </x:c>
      <x:c r="Z290" s="15" t="n">
        <x:v>490</x:v>
      </x:c>
      <x:c r="AA290" s="15" t="n">
        <x:v>345</x:v>
      </x:c>
      <x:c r="AB290" s="15" t="n">
        <x:v>756</x:v>
      </x:c>
      <x:c r="AC290" s="15" t="n">
        <x:v>359</x:v>
      </x:c>
      <x:c r="AD290" s="15" t="n">
        <x:v>642</x:v>
      </x:c>
      <x:c r="AE290" s="15" t="n">
        <x:v>444</x:v>
      </x:c>
      <x:c r="AF290" s="15" t="n">
        <x:v>2462</x:v>
      </x:c>
      <x:c r="AG290" s="15" t="n">
        <x:v>751</x:v>
      </x:c>
      <x:c r="AH290" s="15" t="n">
        <x:v>243</x:v>
      </x:c>
      <x:c r="AI290" s="15" t="n">
        <x:v>179</x:v>
      </x:c>
    </x:row>
    <x:row r="291" ht="22" customHeight="1">
      <x:c r="A291" s="1" t="str">
        <x:v>310M700US38940</x:v>
      </x:c>
      <x:c r="B291" s="1" t="str">
        <x:v>38940</x:v>
      </x:c>
      <x:c r="C291" s="1" t="str">
        <x:v>Port St. Lucie, FL Metro Area</x:v>
      </x:c>
      <x:c r="D291" s="5" t="n">
        <x:v>2024</x:v>
      </x:c>
      <x:c r="E291" s="1" t="str">
        <x:v>ok</x:v>
      </x:c>
      <x:c r="F291" s="15" t="n">
        <x:v>45499</x:v>
      </x:c>
      <x:c r="G291" s="15" t="n">
        <x:v>2969</x:v>
      </x:c>
      <x:c r="H291" s="15" t="n">
        <x:v>42530</x:v>
      </x:c>
      <x:c r="I291" s="15" t="n">
        <x:v>26827</x:v>
      </x:c>
      <x:c r="J291" s="15" t="n">
        <x:v>13138</x:v>
      </x:c>
      <x:c r="K291" s="15" t="n">
        <x:v>63.077827</x:v>
      </x:c>
      <x:c r="L291" s="15" t="n">
        <x:v>30.891136</x:v>
      </x:c>
      <x:c r="M291" s="15" t="n">
        <x:v>6.525418</x:v>
      </x:c>
      <x:c r="N291" s="15" t="n">
        <x:v>45499</x:v>
      </x:c>
      <x:c r="O291" s="15" t="n">
        <x:v>4939</x:v>
      </x:c>
      <x:c r="P291" s="15" t="n">
        <x:v>1470</x:v>
      </x:c>
      <x:c r="Q291" s="15" t="n">
        <x:v>827</x:v>
      </x:c>
      <x:c r="R291" s="15" t="n">
        <x:v>2859</x:v>
      </x:c>
      <x:c r="S291" s="15" t="n">
        <x:v>1444</x:v>
      </x:c>
      <x:c r="T291" s="15" t="n">
        <x:v>3885</x:v>
      </x:c>
      <x:c r="U291" s="15" t="n">
        <x:v>1530</x:v>
      </x:c>
      <x:c r="V291" s="15" t="n">
        <x:v>4553</x:v>
      </x:c>
      <x:c r="W291" s="15" t="n">
        <x:v>1089</x:v>
      </x:c>
      <x:c r="X291" s="15" t="n">
        <x:v>2936</x:v>
      </x:c>
      <x:c r="Y291" s="15" t="n">
        <x:v>1274</x:v>
      </x:c>
      <x:c r="Z291" s="15" t="n">
        <x:v>3964</x:v>
      </x:c>
      <x:c r="AA291" s="15" t="n">
        <x:v>1176</x:v>
      </x:c>
      <x:c r="AB291" s="15" t="n">
        <x:v>3471</x:v>
      </x:c>
      <x:c r="AC291" s="15" t="n">
        <x:v>1567</x:v>
      </x:c>
      <x:c r="AD291" s="15" t="n">
        <x:v>6254</x:v>
      </x:c>
      <x:c r="AE291" s="15" t="n">
        <x:v>2124</x:v>
      </x:c>
      <x:c r="AF291" s="15" t="n">
        <x:v>13138</x:v>
      </x:c>
      <x:c r="AG291" s="15" t="n">
        <x:v>3025</x:v>
      </x:c>
      <x:c r="AH291" s="15" t="n">
        <x:v>2969</x:v>
      </x:c>
      <x:c r="AI291" s="15" t="n">
        <x:v>911</x:v>
      </x:c>
    </x:row>
    <x:row r="292" ht="22" customHeight="1">
      <x:c r="A292" s="1" t="str">
        <x:v>310M700US38860</x:v>
      </x:c>
      <x:c r="B292" s="1" t="str">
        <x:v>38860</x:v>
      </x:c>
      <x:c r="C292" s="1" t="str">
        <x:v>Portland-South Portland, ME Metro Area</x:v>
      </x:c>
      <x:c r="D292" s="5" t="n">
        <x:v>2024</x:v>
      </x:c>
      <x:c r="E292" s="1" t="str">
        <x:v>ok</x:v>
      </x:c>
      <x:c r="F292" s="15" t="n">
        <x:v>70464</x:v>
      </x:c>
      <x:c r="G292" s="15" t="n">
        <x:v>3995</x:v>
      </x:c>
      <x:c r="H292" s="15" t="n">
        <x:v>66469</x:v>
      </x:c>
      <x:c r="I292" s="15" t="n">
        <x:v>32124</x:v>
      </x:c>
      <x:c r="J292" s="15" t="n">
        <x:v>14404</x:v>
      </x:c>
      <x:c r="K292" s="15" t="n">
        <x:v>48.329296</x:v>
      </x:c>
      <x:c r="L292" s="15" t="n">
        <x:v>21.670252</x:v>
      </x:c>
      <x:c r="M292" s="15" t="n">
        <x:v>5.669562</x:v>
      </x:c>
      <x:c r="N292" s="15" t="n">
        <x:v>70464</x:v>
      </x:c>
      <x:c r="O292" s="15" t="n">
        <x:v>3697</x:v>
      </x:c>
      <x:c r="P292" s="15" t="n">
        <x:v>2419</x:v>
      </x:c>
      <x:c r="Q292" s="15" t="n">
        <x:v>894</x:v>
      </x:c>
      <x:c r="R292" s="15" t="n">
        <x:v>6233</x:v>
      </x:c>
      <x:c r="S292" s="15" t="n">
        <x:v>1582</x:v>
      </x:c>
      <x:c r="T292" s="15" t="n">
        <x:v>7619</x:v>
      </x:c>
      <x:c r="U292" s="15" t="n">
        <x:v>1521</x:v>
      </x:c>
      <x:c r="V292" s="15" t="n">
        <x:v>9704</x:v>
      </x:c>
      <x:c r="W292" s="15" t="n">
        <x:v>1796</x:v>
      </x:c>
      <x:c r="X292" s="15" t="n">
        <x:v>8370</x:v>
      </x:c>
      <x:c r="Y292" s="15" t="n">
        <x:v>1546</x:v>
      </x:c>
      <x:c r="Z292" s="15" t="n">
        <x:v>5553</x:v>
      </x:c>
      <x:c r="AA292" s="15" t="n">
        <x:v>1311</x:v>
      </x:c>
      <x:c r="AB292" s="15" t="n">
        <x:v>6115</x:v>
      </x:c>
      <x:c r="AC292" s="15" t="n">
        <x:v>1712</x:v>
      </x:c>
      <x:c r="AD292" s="15" t="n">
        <x:v>6052</x:v>
      </x:c>
      <x:c r="AE292" s="15" t="n">
        <x:v>1417</x:v>
      </x:c>
      <x:c r="AF292" s="15" t="n">
        <x:v>14404</x:v>
      </x:c>
      <x:c r="AG292" s="15" t="n">
        <x:v>2269</x:v>
      </x:c>
      <x:c r="AH292" s="15" t="n">
        <x:v>3995</x:v>
      </x:c>
      <x:c r="AI292" s="15" t="n">
        <x:v>1383</x:v>
      </x:c>
    </x:row>
    <x:row r="293" ht="22" customHeight="1">
      <x:c r="A293" s="1" t="str">
        <x:v>310M700US38900</x:v>
      </x:c>
      <x:c r="B293" s="1" t="str">
        <x:v>38900</x:v>
      </x:c>
      <x:c r="C293" s="1" t="str">
        <x:v>Portland-Vancouver-Hillsboro, OR-WA Metro Area</x:v>
      </x:c>
      <x:c r="D293" s="5" t="n">
        <x:v>2024</x:v>
      </x:c>
      <x:c r="E293" s="1" t="str">
        <x:v>ok</x:v>
      </x:c>
      <x:c r="F293" s="15" t="n">
        <x:v>399269</x:v>
      </x:c>
      <x:c r="G293" s="15" t="n">
        <x:v>16622</x:v>
      </x:c>
      <x:c r="H293" s="15" t="n">
        <x:v>382647</x:v>
      </x:c>
      <x:c r="I293" s="15" t="n">
        <x:v>197616</x:v>
      </x:c>
      <x:c r="J293" s="15" t="n">
        <x:v>96607</x:v>
      </x:c>
      <x:c r="K293" s="15" t="n">
        <x:v>51.644466</x:v>
      </x:c>
      <x:c r="L293" s="15" t="n">
        <x:v>25.247029</x:v>
      </x:c>
      <x:c r="M293" s="15" t="n">
        <x:v>4.163108</x:v>
      </x:c>
      <x:c r="N293" s="15" t="n">
        <x:v>399269</x:v>
      </x:c>
      <x:c r="O293" s="15" t="n">
        <x:v>8816</x:v>
      </x:c>
      <x:c r="P293" s="15" t="n">
        <x:v>9893</x:v>
      </x:c>
      <x:c r="Q293" s="15" t="n">
        <x:v>1951</x:v>
      </x:c>
      <x:c r="R293" s="15" t="n">
        <x:v>26232</x:v>
      </x:c>
      <x:c r="S293" s="15" t="n">
        <x:v>3070</x:v>
      </x:c>
      <x:c r="T293" s="15" t="n">
        <x:v>52200</x:v>
      </x:c>
      <x:c r="U293" s="15" t="n">
        <x:v>3529</x:v>
      </x:c>
      <x:c r="V293" s="15" t="n">
        <x:v>50378</x:v>
      </x:c>
      <x:c r="W293" s="15" t="n">
        <x:v>4347</x:v>
      </x:c>
      <x:c r="X293" s="15" t="n">
        <x:v>46328</x:v>
      </x:c>
      <x:c r="Y293" s="15" t="n">
        <x:v>4606</x:v>
      </x:c>
      <x:c r="Z293" s="15" t="n">
        <x:v>36914</x:v>
      </x:c>
      <x:c r="AA293" s="15" t="n">
        <x:v>3867</x:v>
      </x:c>
      <x:c r="AB293" s="15" t="n">
        <x:v>28393</x:v>
      </x:c>
      <x:c r="AC293" s="15" t="n">
        <x:v>2949</x:v>
      </x:c>
      <x:c r="AD293" s="15" t="n">
        <x:v>35702</x:v>
      </x:c>
      <x:c r="AE293" s="15" t="n">
        <x:v>3750</x:v>
      </x:c>
      <x:c r="AF293" s="15" t="n">
        <x:v>96607</x:v>
      </x:c>
      <x:c r="AG293" s="15" t="n">
        <x:v>5166</x:v>
      </x:c>
      <x:c r="AH293" s="15" t="n">
        <x:v>16622</x:v>
      </x:c>
      <x:c r="AI293" s="15" t="n">
        <x:v>2530</x:v>
      </x:c>
    </x:row>
    <x:row r="294" ht="22" customHeight="1">
      <x:c r="A294" s="1" t="str">
        <x:v>310M700US39150</x:v>
      </x:c>
      <x:c r="B294" s="1" t="str">
        <x:v>39150</x:v>
      </x:c>
      <x:c r="C294" s="1" t="str">
        <x:v>Prescott Valley-Prescott, AZ Metro Area</x:v>
      </x:c>
      <x:c r="D294" s="5" t="n">
        <x:v>2024</x:v>
      </x:c>
      <x:c r="E294" s="1" t="str">
        <x:v>ok</x:v>
      </x:c>
      <x:c r="F294" s="15" t="n">
        <x:v>25896</x:v>
      </x:c>
      <x:c r="G294" s="15" t="n">
        <x:v>1865</x:v>
      </x:c>
      <x:c r="H294" s="15" t="n">
        <x:v>24031</x:v>
      </x:c>
      <x:c r="I294" s="15" t="n">
        <x:v>13035</x:v>
      </x:c>
      <x:c r="J294" s="15" t="n">
        <x:v>6441</x:v>
      </x:c>
      <x:c r="K294" s="15" t="n">
        <x:v>54.242437</x:v>
      </x:c>
      <x:c r="L294" s="15" t="n">
        <x:v>26.80288</x:v>
      </x:c>
      <x:c r="M294" s="15" t="n">
        <x:v>7.201884</x:v>
      </x:c>
      <x:c r="N294" s="15" t="n">
        <x:v>25896</x:v>
      </x:c>
      <x:c r="O294" s="15" t="n">
        <x:v>2781</x:v>
      </x:c>
      <x:c r="P294" s="15" t="n">
        <x:v>889</x:v>
      </x:c>
      <x:c r="Q294" s="15" t="n">
        <x:v>462</x:v>
      </x:c>
      <x:c r="R294" s="15" t="n">
        <x:v>951</x:v>
      </x:c>
      <x:c r="S294" s="15" t="n">
        <x:v>515</x:v>
      </x:c>
      <x:c r="T294" s="15" t="n">
        <x:v>2571</x:v>
      </x:c>
      <x:c r="U294" s="15" t="n">
        <x:v>961</x:v>
      </x:c>
      <x:c r="V294" s="15" t="n">
        <x:v>3106</x:v>
      </x:c>
      <x:c r="W294" s="15" t="n">
        <x:v>1010</x:v>
      </x:c>
      <x:c r="X294" s="15" t="n">
        <x:v>3479</x:v>
      </x:c>
      <x:c r="Y294" s="15" t="n">
        <x:v>1399</x:v>
      </x:c>
      <x:c r="Z294" s="15" t="n">
        <x:v>2382</x:v>
      </x:c>
      <x:c r="AA294" s="15" t="n">
        <x:v>851</x:v>
      </x:c>
      <x:c r="AB294" s="15" t="n">
        <x:v>2404</x:v>
      </x:c>
      <x:c r="AC294" s="15" t="n">
        <x:v>1034</x:v>
      </x:c>
      <x:c r="AD294" s="15" t="n">
        <x:v>1808</x:v>
      </x:c>
      <x:c r="AE294" s="15" t="n">
        <x:v>818</x:v>
      </x:c>
      <x:c r="AF294" s="15" t="n">
        <x:v>6441</x:v>
      </x:c>
      <x:c r="AG294" s="15" t="n">
        <x:v>1468</x:v>
      </x:c>
      <x:c r="AH294" s="15" t="n">
        <x:v>1865</x:v>
      </x:c>
      <x:c r="AI294" s="15" t="n">
        <x:v>784</x:v>
      </x:c>
    </x:row>
    <x:row r="295" ht="22" customHeight="1">
      <x:c r="A295" s="1" t="str">
        <x:v>310M700US39300</x:v>
      </x:c>
      <x:c r="B295" s="1" t="str">
        <x:v>39300</x:v>
      </x:c>
      <x:c r="C295" s="1" t="str">
        <x:v>Providence-Warwick, RI-MA Metro Area</x:v>
      </x:c>
      <x:c r="D295" s="5" t="n">
        <x:v>2024</x:v>
      </x:c>
      <x:c r="E295" s="1" t="str">
        <x:v>ok</x:v>
      </x:c>
      <x:c r="F295" s="15" t="n">
        <x:v>249194</x:v>
      </x:c>
      <x:c r="G295" s="15" t="n">
        <x:v>11799</x:v>
      </x:c>
      <x:c r="H295" s="15" t="n">
        <x:v>237395</x:v>
      </x:c>
      <x:c r="I295" s="15" t="n">
        <x:v>124890</x:v>
      </x:c>
      <x:c r="J295" s="15" t="n">
        <x:v>62274</x:v>
      </x:c>
      <x:c r="K295" s="15" t="n">
        <x:v>52.608522</x:v>
      </x:c>
      <x:c r="L295" s="15" t="n">
        <x:v>26.232229</x:v>
      </x:c>
      <x:c r="M295" s="15" t="n">
        <x:v>4.734865</x:v>
      </x:c>
      <x:c r="N295" s="15" t="n">
        <x:v>249194</x:v>
      </x:c>
      <x:c r="O295" s="15" t="n">
        <x:v>7040</x:v>
      </x:c>
      <x:c r="P295" s="15" t="n">
        <x:v>7091</x:v>
      </x:c>
      <x:c r="Q295" s="15" t="n">
        <x:v>1572</x:v>
      </x:c>
      <x:c r="R295" s="15" t="n">
        <x:v>18991</x:v>
      </x:c>
      <x:c r="S295" s="15" t="n">
        <x:v>2917</x:v>
      </x:c>
      <x:c r="T295" s="15" t="n">
        <x:v>27028</x:v>
      </x:c>
      <x:c r="U295" s="15" t="n">
        <x:v>3576</x:v>
      </x:c>
      <x:c r="V295" s="15" t="n">
        <x:v>28606</x:v>
      </x:c>
      <x:c r="W295" s="15" t="n">
        <x:v>3564</x:v>
      </x:c>
      <x:c r="X295" s="15" t="n">
        <x:v>30789</x:v>
      </x:c>
      <x:c r="Y295" s="15" t="n">
        <x:v>3683</x:v>
      </x:c>
      <x:c r="Z295" s="15" t="n">
        <x:v>24668</x:v>
      </x:c>
      <x:c r="AA295" s="15" t="n">
        <x:v>3010</x:v>
      </x:c>
      <x:c r="AB295" s="15" t="n">
        <x:v>16986</x:v>
      </x:c>
      <x:c r="AC295" s="15" t="n">
        <x:v>2821</x:v>
      </x:c>
      <x:c r="AD295" s="15" t="n">
        <x:v>20962</x:v>
      </x:c>
      <x:c r="AE295" s="15" t="n">
        <x:v>3170</x:v>
      </x:c>
      <x:c r="AF295" s="15" t="n">
        <x:v>62274</x:v>
      </x:c>
      <x:c r="AG295" s="15" t="n">
        <x:v>5377</x:v>
      </x:c>
      <x:c r="AH295" s="15" t="n">
        <x:v>11799</x:v>
      </x:c>
      <x:c r="AI295" s="15" t="n">
        <x:v>1866</x:v>
      </x:c>
    </x:row>
    <x:row r="296" ht="22" customHeight="1">
      <x:c r="A296" s="1" t="str">
        <x:v>310M700US39340</x:v>
      </x:c>
      <x:c r="B296" s="1" t="str">
        <x:v>39340</x:v>
      </x:c>
      <x:c r="C296" s="1" t="str">
        <x:v>Provo-Orem-Lehi, UT Metro Area</x:v>
      </x:c>
      <x:c r="D296" s="5" t="n">
        <x:v>2024</x:v>
      </x:c>
      <x:c r="E296" s="1" t="str">
        <x:v>ok</x:v>
      </x:c>
      <x:c r="F296" s="15" t="n">
        <x:v>68919</x:v>
      </x:c>
      <x:c r="G296" s="15" t="n">
        <x:v>3097</x:v>
      </x:c>
      <x:c r="H296" s="15" t="n">
        <x:v>65822</x:v>
      </x:c>
      <x:c r="I296" s="15" t="n">
        <x:v>28676</x:v>
      </x:c>
      <x:c r="J296" s="15" t="n">
        <x:v>14169</x:v>
      </x:c>
      <x:c r="K296" s="15" t="n">
        <x:v>43.565981</x:v>
      </x:c>
      <x:c r="L296" s="15" t="n">
        <x:v>21.526237</x:v>
      </x:c>
      <x:c r="M296" s="15" t="n">
        <x:v>4.493681</x:v>
      </x:c>
      <x:c r="N296" s="15" t="n">
        <x:v>68919</x:v>
      </x:c>
      <x:c r="O296" s="15" t="n">
        <x:v>3329</x:v>
      </x:c>
      <x:c r="P296" s="15" t="n">
        <x:v>1969</x:v>
      </x:c>
      <x:c r="Q296" s="15" t="n">
        <x:v>868</x:v>
      </x:c>
      <x:c r="R296" s="15" t="n">
        <x:v>4887</x:v>
      </x:c>
      <x:c r="S296" s="15" t="n">
        <x:v>1367</x:v>
      </x:c>
      <x:c r="T296" s="15" t="n">
        <x:v>9481</x:v>
      </x:c>
      <x:c r="U296" s="15" t="n">
        <x:v>1841</x:v>
      </x:c>
      <x:c r="V296" s="15" t="n">
        <x:v>10724</x:v>
      </x:c>
      <x:c r="W296" s="15" t="n">
        <x:v>1530</x:v>
      </x:c>
      <x:c r="X296" s="15" t="n">
        <x:v>10085</x:v>
      </x:c>
      <x:c r="Y296" s="15" t="n">
        <x:v>2179</x:v>
      </x:c>
      <x:c r="Z296" s="15" t="n">
        <x:v>5789</x:v>
      </x:c>
      <x:c r="AA296" s="15" t="n">
        <x:v>1362</x:v>
      </x:c>
      <x:c r="AB296" s="15" t="n">
        <x:v>4173</x:v>
      </x:c>
      <x:c r="AC296" s="15" t="n">
        <x:v>1116</x:v>
      </x:c>
      <x:c r="AD296" s="15" t="n">
        <x:v>4545</x:v>
      </x:c>
      <x:c r="AE296" s="15" t="n">
        <x:v>1442</x:v>
      </x:c>
      <x:c r="AF296" s="15" t="n">
        <x:v>14169</x:v>
      </x:c>
      <x:c r="AG296" s="15" t="n">
        <x:v>2208</x:v>
      </x:c>
      <x:c r="AH296" s="15" t="n">
        <x:v>3097</x:v>
      </x:c>
      <x:c r="AI296" s="15" t="n">
        <x:v>1007</x:v>
      </x:c>
    </x:row>
    <x:row r="297" ht="22" customHeight="1">
      <x:c r="A297" s="1" t="str">
        <x:v>310M700US39380</x:v>
      </x:c>
      <x:c r="B297" s="1" t="str">
        <x:v>39380</x:v>
      </x:c>
      <x:c r="C297" s="1" t="str">
        <x:v>Pueblo, CO Metro Area</x:v>
      </x:c>
      <x:c r="D297" s="5" t="n">
        <x:v>2024</x:v>
      </x:c>
      <x:c r="E297" s="1" t="str">
        <x:v>ok</x:v>
      </x:c>
      <x:c r="F297" s="15" t="n">
        <x:v>20475</x:v>
      </x:c>
      <x:c r="G297" s="15" t="n">
        <x:v>2015</x:v>
      </x:c>
      <x:c r="H297" s="15" t="n">
        <x:v>18460</x:v>
      </x:c>
      <x:c r="I297" s="15" t="n">
        <x:v>9930</x:v>
      </x:c>
      <x:c r="J297" s="15" t="n">
        <x:v>5509</x:v>
      </x:c>
      <x:c r="K297" s="15" t="n">
        <x:v>53.791983</x:v>
      </x:c>
      <x:c r="L297" s="15" t="n">
        <x:v>29.842904</x:v>
      </x:c>
      <x:c r="M297" s="15" t="n">
        <x:v>9.84127</x:v>
      </x:c>
      <x:c r="N297" s="15" t="n">
        <x:v>20475</x:v>
      </x:c>
      <x:c r="O297" s="15" t="n">
        <x:v>1874</x:v>
      </x:c>
      <x:c r="P297" s="15" t="n">
        <x:v>955</x:v>
      </x:c>
      <x:c r="Q297" s="15" t="n">
        <x:v>574</x:v>
      </x:c>
      <x:c r="R297" s="15" t="n">
        <x:v>769</x:v>
      </x:c>
      <x:c r="S297" s="15" t="n">
        <x:v>443</x:v>
      </x:c>
      <x:c r="T297" s="15" t="n">
        <x:v>2115</x:v>
      </x:c>
      <x:c r="U297" s="15" t="n">
        <x:v>737</x:v>
      </x:c>
      <x:c r="V297" s="15" t="n">
        <x:v>1910</x:v>
      </x:c>
      <x:c r="W297" s="15" t="n">
        <x:v>1023</x:v>
      </x:c>
      <x:c r="X297" s="15" t="n">
        <x:v>2781</x:v>
      </x:c>
      <x:c r="Y297" s="15" t="n">
        <x:v>1164</x:v>
      </x:c>
      <x:c r="Z297" s="15" t="n">
        <x:v>1110</x:v>
      </x:c>
      <x:c r="AA297" s="15" t="n">
        <x:v>595</x:v>
      </x:c>
      <x:c r="AB297" s="15" t="n">
        <x:v>1852</x:v>
      </x:c>
      <x:c r="AC297" s="15" t="n">
        <x:v>930</x:v>
      </x:c>
      <x:c r="AD297" s="15" t="n">
        <x:v>1459</x:v>
      </x:c>
      <x:c r="AE297" s="15" t="n">
        <x:v>688</x:v>
      </x:c>
      <x:c r="AF297" s="15" t="n">
        <x:v>5509</x:v>
      </x:c>
      <x:c r="AG297" s="15" t="n">
        <x:v>1253</x:v>
      </x:c>
      <x:c r="AH297" s="15" t="n">
        <x:v>2015</x:v>
      </x:c>
      <x:c r="AI297" s="15" t="n">
        <x:v>999</x:v>
      </x:c>
    </x:row>
    <x:row r="298" ht="22" customHeight="1">
      <x:c r="A298" s="1" t="str">
        <x:v>310M700US39460</x:v>
      </x:c>
      <x:c r="B298" s="1" t="str">
        <x:v>39460</x:v>
      </x:c>
      <x:c r="C298" s="1" t="str">
        <x:v>Punta Gorda, FL Metro Area</x:v>
      </x:c>
      <x:c r="D298" s="5" t="n">
        <x:v>2024</x:v>
      </x:c>
      <x:c r="E298" s="1" t="str">
        <x:v>ok</x:v>
      </x:c>
      <x:c r="F298" s="15" t="n">
        <x:v>14744</x:v>
      </x:c>
      <x:c r="G298" s="15" t="n">
        <x:v>1700</x:v>
      </x:c>
      <x:c r="H298" s="15" t="n">
        <x:v>13044</x:v>
      </x:c>
      <x:c r="I298" s="15" t="n">
        <x:v>7344</x:v>
      </x:c>
      <x:c r="J298" s="15" t="n">
        <x:v>3315</x:v>
      </x:c>
      <x:c r="K298" s="15" t="n">
        <x:v>56.301748</x:v>
      </x:c>
      <x:c r="L298" s="15" t="n">
        <x:v>25.413983</x:v>
      </x:c>
      <x:c r="M298" s="15" t="n">
        <x:v>11.530114</x:v>
      </x:c>
      <x:c r="N298" s="15" t="n">
        <x:v>14744</x:v>
      </x:c>
      <x:c r="O298" s="15" t="n">
        <x:v>2766</x:v>
      </x:c>
      <x:c r="P298" s="15" t="n">
        <x:v>1232</x:v>
      </x:c>
      <x:c r="Q298" s="15" t="n">
        <x:v>1150</x:v>
      </x:c>
      <x:c r="R298" s="15" t="n">
        <x:v>733</x:v>
      </x:c>
      <x:c r="S298" s="15" t="n">
        <x:v>428</x:v>
      </x:c>
      <x:c r="T298" s="15" t="n">
        <x:v>1082</x:v>
      </x:c>
      <x:c r="U298" s="15" t="n">
        <x:v>620</x:v>
      </x:c>
      <x:c r="V298" s="15" t="n">
        <x:v>1387</x:v>
      </x:c>
      <x:c r="W298" s="15" t="n">
        <x:v>947</x:v>
      </x:c>
      <x:c r="X298" s="15" t="n">
        <x:v>1266</x:v>
      </x:c>
      <x:c r="Y298" s="15" t="n">
        <x:v>517</x:v>
      </x:c>
      <x:c r="Z298" s="15" t="n">
        <x:v>1171</x:v>
      </x:c>
      <x:c r="AA298" s="15" t="n">
        <x:v>607</x:v>
      </x:c>
      <x:c r="AB298" s="15" t="n">
        <x:v>777</x:v>
      </x:c>
      <x:c r="AC298" s="15" t="n">
        <x:v>707</x:v>
      </x:c>
      <x:c r="AD298" s="15" t="n">
        <x:v>2081</x:v>
      </x:c>
      <x:c r="AE298" s="15" t="n">
        <x:v>1062</x:v>
      </x:c>
      <x:c r="AF298" s="15" t="n">
        <x:v>3315</x:v>
      </x:c>
      <x:c r="AG298" s="15" t="n">
        <x:v>1337</x:v>
      </x:c>
      <x:c r="AH298" s="15" t="n">
        <x:v>1700</x:v>
      </x:c>
      <x:c r="AI298" s="15" t="n">
        <x:v>987</x:v>
      </x:c>
    </x:row>
    <x:row r="299" ht="22" customHeight="1">
      <x:c r="A299" s="1" t="str">
        <x:v>310M700US39540</x:v>
      </x:c>
      <x:c r="B299" s="1" t="str">
        <x:v>39540</x:v>
      </x:c>
      <x:c r="C299" s="1" t="str">
        <x:v>Racine-Mount Pleasant, WI Metro Area</x:v>
      </x:c>
      <x:c r="D299" s="5" t="n">
        <x:v>2024</x:v>
      </x:c>
      <x:c r="E299" s="1" t="str">
        <x:v>ok</x:v>
      </x:c>
      <x:c r="F299" s="15" t="n">
        <x:v>23162</x:v>
      </x:c>
      <x:c r="G299" s="15" t="n">
        <x:v>1338</x:v>
      </x:c>
      <x:c r="H299" s="15" t="n">
        <x:v>21824</x:v>
      </x:c>
      <x:c r="I299" s="15" t="n">
        <x:v>12186</x:v>
      </x:c>
      <x:c r="J299" s="15" t="n">
        <x:v>5771</x:v>
      </x:c>
      <x:c r="K299" s="15" t="n">
        <x:v>55.83761</x:v>
      </x:c>
      <x:c r="L299" s="15" t="n">
        <x:v>26.443365</x:v>
      </x:c>
      <x:c r="M299" s="15" t="n">
        <x:v>5.776703</x:v>
      </x:c>
      <x:c r="N299" s="15" t="n">
        <x:v>23162</x:v>
      </x:c>
      <x:c r="O299" s="15" t="n">
        <x:v>2183</x:v>
      </x:c>
      <x:c r="P299" s="15" t="n">
        <x:v>827</x:v>
      </x:c>
      <x:c r="Q299" s="15" t="n">
        <x:v>428</x:v>
      </x:c>
      <x:c r="R299" s="15" t="n">
        <x:v>1922</x:v>
      </x:c>
      <x:c r="S299" s="15" t="n">
        <x:v>773</x:v>
      </x:c>
      <x:c r="T299" s="15" t="n">
        <x:v>2603</x:v>
      </x:c>
      <x:c r="U299" s="15" t="n">
        <x:v>1178</x:v>
      </x:c>
      <x:c r="V299" s="15" t="n">
        <x:v>1334</x:v>
      </x:c>
      <x:c r="W299" s="15" t="n">
        <x:v>631</x:v>
      </x:c>
      <x:c r="X299" s="15" t="n">
        <x:v>2952</x:v>
      </x:c>
      <x:c r="Y299" s="15" t="n">
        <x:v>1092</x:v>
      </x:c>
      <x:c r="Z299" s="15" t="n">
        <x:v>1977</x:v>
      </x:c>
      <x:c r="AA299" s="15" t="n">
        <x:v>932</x:v>
      </x:c>
      <x:c r="AB299" s="15" t="n">
        <x:v>918</x:v>
      </x:c>
      <x:c r="AC299" s="15" t="n">
        <x:v>547</x:v>
      </x:c>
      <x:c r="AD299" s="15" t="n">
        <x:v>3520</x:v>
      </x:c>
      <x:c r="AE299" s="15" t="n">
        <x:v>1446</x:v>
      </x:c>
      <x:c r="AF299" s="15" t="n">
        <x:v>5771</x:v>
      </x:c>
      <x:c r="AG299" s="15" t="n">
        <x:v>1596</x:v>
      </x:c>
      <x:c r="AH299" s="15" t="n">
        <x:v>1338</x:v>
      </x:c>
      <x:c r="AI299" s="15" t="n">
        <x:v>634</x:v>
      </x:c>
    </x:row>
    <x:row r="300" ht="22" customHeight="1">
      <x:c r="A300" s="1" t="str">
        <x:v>310M700US39580</x:v>
      </x:c>
      <x:c r="B300" s="1" t="str">
        <x:v>39580</x:v>
      </x:c>
      <x:c r="C300" s="1" t="str">
        <x:v>Raleigh-Cary, NC Metro Area</x:v>
      </x:c>
      <x:c r="D300" s="5" t="n">
        <x:v>2024</x:v>
      </x:c>
      <x:c r="E300" s="1" t="str">
        <x:v>ok</x:v>
      </x:c>
      <x:c r="F300" s="15" t="n">
        <x:v>218517</x:v>
      </x:c>
      <x:c r="G300" s="15" t="n">
        <x:v>9373</x:v>
      </x:c>
      <x:c r="H300" s="15" t="n">
        <x:v>209144</x:v>
      </x:c>
      <x:c r="I300" s="15" t="n">
        <x:v>107310</x:v>
      </x:c>
      <x:c r="J300" s="15" t="n">
        <x:v>47888</x:v>
      </x:c>
      <x:c r="K300" s="15" t="n">
        <x:v>51.309146</x:v>
      </x:c>
      <x:c r="L300" s="15" t="n">
        <x:v>22.897143</x:v>
      </x:c>
      <x:c r="M300" s="15" t="n">
        <x:v>4.289369</x:v>
      </x:c>
      <x:c r="N300" s="15" t="n">
        <x:v>218517</x:v>
      </x:c>
      <x:c r="O300" s="15" t="n">
        <x:v>7632</x:v>
      </x:c>
      <x:c r="P300" s="15" t="n">
        <x:v>7830</x:v>
      </x:c>
      <x:c r="Q300" s="15" t="n">
        <x:v>2351</x:v>
      </x:c>
      <x:c r="R300" s="15" t="n">
        <x:v>17700</x:v>
      </x:c>
      <x:c r="S300" s="15" t="n">
        <x:v>3030</x:v>
      </x:c>
      <x:c r="T300" s="15" t="n">
        <x:v>26311</x:v>
      </x:c>
      <x:c r="U300" s="15" t="n">
        <x:v>3030</x:v>
      </x:c>
      <x:c r="V300" s="15" t="n">
        <x:v>29142</x:v>
      </x:c>
      <x:c r="W300" s="15" t="n">
        <x:v>3770</x:v>
      </x:c>
      <x:c r="X300" s="15" t="n">
        <x:v>20851</x:v>
      </x:c>
      <x:c r="Y300" s="15" t="n">
        <x:v>2999</x:v>
      </x:c>
      <x:c r="Z300" s="15" t="n">
        <x:v>25417</x:v>
      </x:c>
      <x:c r="AA300" s="15" t="n">
        <x:v>3763</x:v>
      </x:c>
      <x:c r="AB300" s="15" t="n">
        <x:v>14894</x:v>
      </x:c>
      <x:c r="AC300" s="15" t="n">
        <x:v>2984</x:v>
      </x:c>
      <x:c r="AD300" s="15" t="n">
        <x:v>19111</x:v>
      </x:c>
      <x:c r="AE300" s="15" t="n">
        <x:v>3178</x:v>
      </x:c>
      <x:c r="AF300" s="15" t="n">
        <x:v>47888</x:v>
      </x:c>
      <x:c r="AG300" s="15" t="n">
        <x:v>5545</x:v>
      </x:c>
      <x:c r="AH300" s="15" t="n">
        <x:v>9373</x:v>
      </x:c>
      <x:c r="AI300" s="15" t="n">
        <x:v>2151</x:v>
      </x:c>
    </x:row>
    <x:row r="301" ht="22" customHeight="1">
      <x:c r="A301" s="1" t="str">
        <x:v>310M700US39660</x:v>
      </x:c>
      <x:c r="B301" s="1" t="str">
        <x:v>39660</x:v>
      </x:c>
      <x:c r="C301" s="1" t="str">
        <x:v>Rapid City, SD Metro Area</x:v>
      </x:c>
      <x:c r="D301" s="5" t="n">
        <x:v>2024</x:v>
      </x:c>
      <x:c r="E301" s="1" t="str">
        <x:v>ok</x:v>
      </x:c>
      <x:c r="F301" s="15" t="n">
        <x:v>17721</x:v>
      </x:c>
      <x:c r="G301" s="15" t="n">
        <x:v>1786</x:v>
      </x:c>
      <x:c r="H301" s="15" t="n">
        <x:v>15935</x:v>
      </x:c>
      <x:c r="I301" s="15" t="n">
        <x:v>7850</x:v>
      </x:c>
      <x:c r="J301" s="15" t="n">
        <x:v>2841</x:v>
      </x:c>
      <x:c r="K301" s="15" t="n">
        <x:v>49.262629</x:v>
      </x:c>
      <x:c r="L301" s="15" t="n">
        <x:v>17.828679</x:v>
      </x:c>
      <x:c r="M301" s="15" t="n">
        <x:v>10.078438</x:v>
      </x:c>
      <x:c r="N301" s="15" t="n">
        <x:v>17721</x:v>
      </x:c>
      <x:c r="O301" s="15" t="n">
        <x:v>2093</x:v>
      </x:c>
      <x:c r="P301" s="15" t="n">
        <x:v>1362</x:v>
      </x:c>
      <x:c r="Q301" s="15" t="n">
        <x:v>796</x:v>
      </x:c>
      <x:c r="R301" s="15" t="n">
        <x:v>1091</x:v>
      </x:c>
      <x:c r="S301" s="15" t="n">
        <x:v>487</x:v>
      </x:c>
      <x:c r="T301" s="15" t="n">
        <x:v>1770</x:v>
      </x:c>
      <x:c r="U301" s="15" t="n">
        <x:v>538</x:v>
      </x:c>
      <x:c r="V301" s="15" t="n">
        <x:v>1534</x:v>
      </x:c>
      <x:c r="W301" s="15" t="n">
        <x:v>645</x:v>
      </x:c>
      <x:c r="X301" s="15" t="n">
        <x:v>2328</x:v>
      </x:c>
      <x:c r="Y301" s="15" t="n">
        <x:v>693</x:v>
      </x:c>
      <x:c r="Z301" s="15" t="n">
        <x:v>2540</x:v>
      </x:c>
      <x:c r="AA301" s="15" t="n">
        <x:v>1008</x:v>
      </x:c>
      <x:c r="AB301" s="15" t="n">
        <x:v>1009</x:v>
      </x:c>
      <x:c r="AC301" s="15" t="n">
        <x:v>586</x:v>
      </x:c>
      <x:c r="AD301" s="15" t="n">
        <x:v>1460</x:v>
      </x:c>
      <x:c r="AE301" s="15" t="n">
        <x:v>589</x:v>
      </x:c>
      <x:c r="AF301" s="15" t="n">
        <x:v>2841</x:v>
      </x:c>
      <x:c r="AG301" s="15" t="n">
        <x:v>1076</x:v>
      </x:c>
      <x:c r="AH301" s="15" t="n">
        <x:v>1786</x:v>
      </x:c>
      <x:c r="AI301" s="15" t="n">
        <x:v>770</x:v>
      </x:c>
    </x:row>
    <x:row r="302" ht="22" customHeight="1">
      <x:c r="A302" s="1" t="str">
        <x:v>310M700US39740</x:v>
      </x:c>
      <x:c r="B302" s="1" t="str">
        <x:v>39740</x:v>
      </x:c>
      <x:c r="C302" s="1" t="str">
        <x:v>Reading, PA Metro Area</x:v>
      </x:c>
      <x:c r="D302" s="5" t="n">
        <x:v>2024</x:v>
      </x:c>
      <x:c r="E302" s="1" t="str">
        <x:v>ok</x:v>
      </x:c>
      <x:c r="F302" s="15" t="n">
        <x:v>48558</x:v>
      </x:c>
      <x:c r="G302" s="15" t="n">
        <x:v>3534</x:v>
      </x:c>
      <x:c r="H302" s="15" t="n">
        <x:v>45024</x:v>
      </x:c>
      <x:c r="I302" s="15" t="n">
        <x:v>25111</x:v>
      </x:c>
      <x:c r="J302" s="15" t="n">
        <x:v>11512</x:v>
      </x:c>
      <x:c r="K302" s="15" t="n">
        <x:v>55.772477</x:v>
      </x:c>
      <x:c r="L302" s="15" t="n">
        <x:v>25.568586</x:v>
      </x:c>
      <x:c r="M302" s="15" t="n">
        <x:v>7.277894</x:v>
      </x:c>
      <x:c r="N302" s="15" t="n">
        <x:v>48558</x:v>
      </x:c>
      <x:c r="O302" s="15" t="n">
        <x:v>3036</x:v>
      </x:c>
      <x:c r="P302" s="15" t="n">
        <x:v>1968</x:v>
      </x:c>
      <x:c r="Q302" s="15" t="n">
        <x:v>900</x:v>
      </x:c>
      <x:c r="R302" s="15" t="n">
        <x:v>3595</x:v>
      </x:c>
      <x:c r="S302" s="15" t="n">
        <x:v>902</x:v>
      </x:c>
      <x:c r="T302" s="15" t="n">
        <x:v>4250</x:v>
      </x:c>
      <x:c r="U302" s="15" t="n">
        <x:v>1064</x:v>
      </x:c>
      <x:c r="V302" s="15" t="n">
        <x:v>5395</x:v>
      </x:c>
      <x:c r="W302" s="15" t="n">
        <x:v>1255</x:v>
      </x:c>
      <x:c r="X302" s="15" t="n">
        <x:v>4705</x:v>
      </x:c>
      <x:c r="Y302" s="15" t="n">
        <x:v>1344</x:v>
      </x:c>
      <x:c r="Z302" s="15" t="n">
        <x:v>4896</x:v>
      </x:c>
      <x:c r="AA302" s="15" t="n">
        <x:v>1250</x:v>
      </x:c>
      <x:c r="AB302" s="15" t="n">
        <x:v>3646</x:v>
      </x:c>
      <x:c r="AC302" s="15" t="n">
        <x:v>1387</x:v>
      </x:c>
      <x:c r="AD302" s="15" t="n">
        <x:v>5057</x:v>
      </x:c>
      <x:c r="AE302" s="15" t="n">
        <x:v>1561</x:v>
      </x:c>
      <x:c r="AF302" s="15" t="n">
        <x:v>11512</x:v>
      </x:c>
      <x:c r="AG302" s="15" t="n">
        <x:v>1941</x:v>
      </x:c>
      <x:c r="AH302" s="15" t="n">
        <x:v>3534</x:v>
      </x:c>
      <x:c r="AI302" s="15" t="n">
        <x:v>1081</x:v>
      </x:c>
    </x:row>
    <x:row r="303" ht="22" customHeight="1">
      <x:c r="A303" s="1" t="str">
        <x:v>310M700US39820</x:v>
      </x:c>
      <x:c r="B303" s="1" t="str">
        <x:v>39820</x:v>
      </x:c>
      <x:c r="C303" s="1" t="str">
        <x:v>Redding, CA Metro Area</x:v>
      </x:c>
      <x:c r="D303" s="5" t="n">
        <x:v>2024</x:v>
      </x:c>
      <x:c r="E303" s="1" t="str">
        <x:v>ok</x:v>
      </x:c>
      <x:c r="F303" s="15" t="n">
        <x:v>23910</x:v>
      </x:c>
      <x:c r="G303" s="15" t="n">
        <x:v>1140</x:v>
      </x:c>
      <x:c r="H303" s="15" t="n">
        <x:v>22770</x:v>
      </x:c>
      <x:c r="I303" s="15" t="n">
        <x:v>12416</x:v>
      </x:c>
      <x:c r="J303" s="15" t="n">
        <x:v>5947</x:v>
      </x:c>
      <x:c r="K303" s="15" t="n">
        <x:v>54.527888</x:v>
      </x:c>
      <x:c r="L303" s="15" t="n">
        <x:v>26.117699</x:v>
      </x:c>
      <x:c r="M303" s="15" t="n">
        <x:v>4.76788</x:v>
      </x:c>
      <x:c r="N303" s="15" t="n">
        <x:v>23910</x:v>
      </x:c>
      <x:c r="O303" s="15" t="n">
        <x:v>2255</x:v>
      </x:c>
      <x:c r="P303" s="15" t="n">
        <x:v>700</x:v>
      </x:c>
      <x:c r="Q303" s="15" t="n">
        <x:v>428</x:v>
      </x:c>
      <x:c r="R303" s="15" t="n">
        <x:v>524</x:v>
      </x:c>
      <x:c r="S303" s="15" t="n">
        <x:v>319</x:v>
      </x:c>
      <x:c r="T303" s="15" t="n">
        <x:v>2114</x:v>
      </x:c>
      <x:c r="U303" s="15" t="n">
        <x:v>773</x:v>
      </x:c>
      <x:c r="V303" s="15" t="n">
        <x:v>4058</x:v>
      </x:c>
      <x:c r="W303" s="15" t="n">
        <x:v>1326</x:v>
      </x:c>
      <x:c r="X303" s="15" t="n">
        <x:v>2958</x:v>
      </x:c>
      <x:c r="Y303" s="15" t="n">
        <x:v>1155</x:v>
      </x:c>
      <x:c r="Z303" s="15" t="n">
        <x:v>1949</x:v>
      </x:c>
      <x:c r="AA303" s="15" t="n">
        <x:v>799</x:v>
      </x:c>
      <x:c r="AB303" s="15" t="n">
        <x:v>2274</x:v>
      </x:c>
      <x:c r="AC303" s="15" t="n">
        <x:v>911</x:v>
      </x:c>
      <x:c r="AD303" s="15" t="n">
        <x:v>2246</x:v>
      </x:c>
      <x:c r="AE303" s="15" t="n">
        <x:v>887</x:v>
      </x:c>
      <x:c r="AF303" s="15" t="n">
        <x:v>5947</x:v>
      </x:c>
      <x:c r="AG303" s="15" t="n">
        <x:v>1447</x:v>
      </x:c>
      <x:c r="AH303" s="15" t="n">
        <x:v>1140</x:v>
      </x:c>
      <x:c r="AI303" s="15" t="n">
        <x:v>754</x:v>
      </x:c>
    </x:row>
    <x:row r="304" ht="22" customHeight="1">
      <x:c r="A304" s="1" t="str">
        <x:v>310M700US39900</x:v>
      </x:c>
      <x:c r="B304" s="1" t="str">
        <x:v>39900</x:v>
      </x:c>
      <x:c r="C304" s="1" t="str">
        <x:v>Reno, NV Metro Area</x:v>
      </x:c>
      <x:c r="D304" s="5" t="n">
        <x:v>2024</x:v>
      </x:c>
      <x:c r="E304" s="1" t="str">
        <x:v>ok</x:v>
      </x:c>
      <x:c r="F304" s="15" t="n">
        <x:v>88309</x:v>
      </x:c>
      <x:c r="G304" s="15" t="n">
        <x:v>4004</x:v>
      </x:c>
      <x:c r="H304" s="15" t="n">
        <x:v>84305</x:v>
      </x:c>
      <x:c r="I304" s="15" t="n">
        <x:v>42765</x:v>
      </x:c>
      <x:c r="J304" s="15" t="n">
        <x:v>20002</x:v>
      </x:c>
      <x:c r="K304" s="15" t="n">
        <x:v>50.726529</x:v>
      </x:c>
      <x:c r="L304" s="15" t="n">
        <x:v>23.725758</x:v>
      </x:c>
      <x:c r="M304" s="15" t="n">
        <x:v>4.534079</x:v>
      </x:c>
      <x:c r="N304" s="15" t="n">
        <x:v>88309</x:v>
      </x:c>
      <x:c r="O304" s="15" t="n">
        <x:v>4269</x:v>
      </x:c>
      <x:c r="P304" s="15" t="n">
        <x:v>2871</x:v>
      </x:c>
      <x:c r="Q304" s="15" t="n">
        <x:v>998</x:v>
      </x:c>
      <x:c r="R304" s="15" t="n">
        <x:v>5306</x:v>
      </x:c>
      <x:c r="S304" s="15" t="n">
        <x:v>1322</x:v>
      </x:c>
      <x:c r="T304" s="15" t="n">
        <x:v>11718</x:v>
      </x:c>
      <x:c r="U304" s="15" t="n">
        <x:v>1839</x:v>
      </x:c>
      <x:c r="V304" s="15" t="n">
        <x:v>12145</x:v>
      </x:c>
      <x:c r="W304" s="15" t="n">
        <x:v>2069</x:v>
      </x:c>
      <x:c r="X304" s="15" t="n">
        <x:v>9500</x:v>
      </x:c>
      <x:c r="Y304" s="15" t="n">
        <x:v>1577</x:v>
      </x:c>
      <x:c r="Z304" s="15" t="n">
        <x:v>8441</x:v>
      </x:c>
      <x:c r="AA304" s="15" t="n">
        <x:v>1833</x:v>
      </x:c>
      <x:c r="AB304" s="15" t="n">
        <x:v>5926</x:v>
      </x:c>
      <x:c r="AC304" s="15" t="n">
        <x:v>1317</x:v>
      </x:c>
      <x:c r="AD304" s="15" t="n">
        <x:v>8396</x:v>
      </x:c>
      <x:c r="AE304" s="15" t="n">
        <x:v>1838</x:v>
      </x:c>
      <x:c r="AF304" s="15" t="n">
        <x:v>20002</x:v>
      </x:c>
      <x:c r="AG304" s="15" t="n">
        <x:v>2840</x:v>
      </x:c>
      <x:c r="AH304" s="15" t="n">
        <x:v>4004</x:v>
      </x:c>
      <x:c r="AI304" s="15" t="n">
        <x:v>1105</x:v>
      </x:c>
    </x:row>
    <x:row r="305" ht="22" customHeight="1">
      <x:c r="A305" s="1" t="str">
        <x:v>310M700US40060</x:v>
      </x:c>
      <x:c r="B305" s="1" t="str">
        <x:v>40060</x:v>
      </x:c>
      <x:c r="C305" s="1" t="str">
        <x:v>Richmond, VA Metro Area</x:v>
      </x:c>
      <x:c r="D305" s="5" t="n">
        <x:v>2024</x:v>
      </x:c>
      <x:c r="E305" s="1" t="str">
        <x:v>ok</x:v>
      </x:c>
      <x:c r="F305" s="15" t="n">
        <x:v>186692</x:v>
      </x:c>
      <x:c r="G305" s="15" t="n">
        <x:v>11636</x:v>
      </x:c>
      <x:c r="H305" s="15" t="n">
        <x:v>175056</x:v>
      </x:c>
      <x:c r="I305" s="15" t="n">
        <x:v>91233</x:v>
      </x:c>
      <x:c r="J305" s="15" t="n">
        <x:v>47319</x:v>
      </x:c>
      <x:c r="K305" s="15" t="n">
        <x:v>52.116466</x:v>
      </x:c>
      <x:c r="L305" s="15" t="n">
        <x:v>27.030779</x:v>
      </x:c>
      <x:c r="M305" s="15" t="n">
        <x:v>6.232726</x:v>
      </x:c>
      <x:c r="N305" s="15" t="n">
        <x:v>186692</x:v>
      </x:c>
      <x:c r="O305" s="15" t="n">
        <x:v>6311</x:v>
      </x:c>
      <x:c r="P305" s="15" t="n">
        <x:v>4920</x:v>
      </x:c>
      <x:c r="Q305" s="15" t="n">
        <x:v>1356</x:v>
      </x:c>
      <x:c r="R305" s="15" t="n">
        <x:v>13633</x:v>
      </x:c>
      <x:c r="S305" s="15" t="n">
        <x:v>2294</x:v>
      </x:c>
      <x:c r="T305" s="15" t="n">
        <x:v>19884</x:v>
      </x:c>
      <x:c r="U305" s="15" t="n">
        <x:v>2929</x:v>
      </x:c>
      <x:c r="V305" s="15" t="n">
        <x:v>23188</x:v>
      </x:c>
      <x:c r="W305" s="15" t="n">
        <x:v>3050</x:v>
      </x:c>
      <x:c r="X305" s="15" t="n">
        <x:v>22198</x:v>
      </x:c>
      <x:c r="Y305" s="15" t="n">
        <x:v>3068</x:v>
      </x:c>
      <x:c r="Z305" s="15" t="n">
        <x:v>15593</x:v>
      </x:c>
      <x:c r="AA305" s="15" t="n">
        <x:v>2800</x:v>
      </x:c>
      <x:c r="AB305" s="15" t="n">
        <x:v>12749</x:v>
      </x:c>
      <x:c r="AC305" s="15" t="n">
        <x:v>2210</x:v>
      </x:c>
      <x:c r="AD305" s="15" t="n">
        <x:v>15572</x:v>
      </x:c>
      <x:c r="AE305" s="15" t="n">
        <x:v>3033</x:v>
      </x:c>
      <x:c r="AF305" s="15" t="n">
        <x:v>47319</x:v>
      </x:c>
      <x:c r="AG305" s="15" t="n">
        <x:v>3718</x:v>
      </x:c>
      <x:c r="AH305" s="15" t="n">
        <x:v>11636</x:v>
      </x:c>
      <x:c r="AI305" s="15" t="n">
        <x:v>2646</x:v>
      </x:c>
    </x:row>
    <x:row r="306" ht="22" customHeight="1">
      <x:c r="A306" s="1" t="str">
        <x:v>310M700US40140</x:v>
      </x:c>
      <x:c r="B306" s="1" t="str">
        <x:v>40140</x:v>
      </x:c>
      <x:c r="C306" s="1" t="str">
        <x:v>Riverside-San Bernardino-Ontario, CA Metro Area</x:v>
      </x:c>
      <x:c r="D306" s="5" t="n">
        <x:v>2024</x:v>
      </x:c>
      <x:c r="E306" s="1" t="str">
        <x:v>ok</x:v>
      </x:c>
      <x:c r="F306" s="15" t="n">
        <x:v>507535</x:v>
      </x:c>
      <x:c r="G306" s="15" t="n">
        <x:v>29805</x:v>
      </x:c>
      <x:c r="H306" s="15" t="n">
        <x:v>477730</x:v>
      </x:c>
      <x:c r="I306" s="15" t="n">
        <x:v>287480</x:v>
      </x:c>
      <x:c r="J306" s="15" t="n">
        <x:v>146138</x:v>
      </x:c>
      <x:c r="K306" s="15" t="n">
        <x:v>60.17625</x:v>
      </x:c>
      <x:c r="L306" s="15" t="n">
        <x:v>30.590082</x:v>
      </x:c>
      <x:c r="M306" s="15" t="n">
        <x:v>5.872501</x:v>
      </x:c>
      <x:c r="N306" s="15" t="n">
        <x:v>507535</x:v>
      </x:c>
      <x:c r="O306" s="15" t="n">
        <x:v>11684</x:v>
      </x:c>
      <x:c r="P306" s="15" t="n">
        <x:v>12150</x:v>
      </x:c>
      <x:c r="Q306" s="15" t="n">
        <x:v>2065</x:v>
      </x:c>
      <x:c r="R306" s="15" t="n">
        <x:v>27791</x:v>
      </x:c>
      <x:c r="S306" s="15" t="n">
        <x:v>2891</x:v>
      </x:c>
      <x:c r="T306" s="15" t="n">
        <x:v>43430</x:v>
      </x:c>
      <x:c r="U306" s="15" t="n">
        <x:v>4240</x:v>
      </x:c>
      <x:c r="V306" s="15" t="n">
        <x:v>53408</x:v>
      </x:c>
      <x:c r="W306" s="15" t="n">
        <x:v>4959</x:v>
      </x:c>
      <x:c r="X306" s="15" t="n">
        <x:v>53471</x:v>
      </x:c>
      <x:c r="Y306" s="15" t="n">
        <x:v>4062</x:v>
      </x:c>
      <x:c r="Z306" s="15" t="n">
        <x:v>47833</x:v>
      </x:c>
      <x:c r="AA306" s="15" t="n">
        <x:v>4660</x:v>
      </x:c>
      <x:c r="AB306" s="15" t="n">
        <x:v>38222</x:v>
      </x:c>
      <x:c r="AC306" s="15" t="n">
        <x:v>4585</x:v>
      </x:c>
      <x:c r="AD306" s="15" t="n">
        <x:v>55287</x:v>
      </x:c>
      <x:c r="AE306" s="15" t="n">
        <x:v>4584</x:v>
      </x:c>
      <x:c r="AF306" s="15" t="n">
        <x:v>146138</x:v>
      </x:c>
      <x:c r="AG306" s="15" t="n">
        <x:v>7407</x:v>
      </x:c>
      <x:c r="AH306" s="15" t="n">
        <x:v>29805</x:v>
      </x:c>
      <x:c r="AI306" s="15" t="n">
        <x:v>3173</x:v>
      </x:c>
    </x:row>
    <x:row r="307" ht="22" customHeight="1">
      <x:c r="A307" s="1" t="str">
        <x:v>310M700US40220</x:v>
      </x:c>
      <x:c r="B307" s="1" t="str">
        <x:v>40220</x:v>
      </x:c>
      <x:c r="C307" s="1" t="str">
        <x:v>Roanoke, VA Metro Area</x:v>
      </x:c>
      <x:c r="D307" s="5" t="n">
        <x:v>2024</x:v>
      </x:c>
      <x:c r="E307" s="1" t="str">
        <x:v>ok</x:v>
      </x:c>
      <x:c r="F307" s="15" t="n">
        <x:v>41359</x:v>
      </x:c>
      <x:c r="G307" s="15" t="n">
        <x:v>3726</x:v>
      </x:c>
      <x:c r="H307" s="15" t="n">
        <x:v>37633</x:v>
      </x:c>
      <x:c r="I307" s="15" t="n">
        <x:v>16826</x:v>
      </x:c>
      <x:c r="J307" s="15" t="n">
        <x:v>8270</x:v>
      </x:c>
      <x:c r="K307" s="15" t="n">
        <x:v>44.710759</x:v>
      </x:c>
      <x:c r="L307" s="15" t="n">
        <x:v>21.975394</x:v>
      </x:c>
      <x:c r="M307" s="15" t="n">
        <x:v>9.008922</x:v>
      </x:c>
      <x:c r="N307" s="15" t="n">
        <x:v>41359</x:v>
      </x:c>
      <x:c r="O307" s="15" t="n">
        <x:v>3035</x:v>
      </x:c>
      <x:c r="P307" s="15" t="n">
        <x:v>1607</x:v>
      </x:c>
      <x:c r="Q307" s="15" t="n">
        <x:v>784</x:v>
      </x:c>
      <x:c r="R307" s="15" t="n">
        <x:v>3254</x:v>
      </x:c>
      <x:c r="S307" s="15" t="n">
        <x:v>935</x:v>
      </x:c>
      <x:c r="T307" s="15" t="n">
        <x:v>4112</x:v>
      </x:c>
      <x:c r="U307" s="15" t="n">
        <x:v>1278</x:v>
      </x:c>
      <x:c r="V307" s="15" t="n">
        <x:v>5980</x:v>
      </x:c>
      <x:c r="W307" s="15" t="n">
        <x:v>1858</x:v>
      </x:c>
      <x:c r="X307" s="15" t="n">
        <x:v>5854</x:v>
      </x:c>
      <x:c r="Y307" s="15" t="n">
        <x:v>1435</x:v>
      </x:c>
      <x:c r="Z307" s="15" t="n">
        <x:v>2809</x:v>
      </x:c>
      <x:c r="AA307" s="15" t="n">
        <x:v>965</x:v>
      </x:c>
      <x:c r="AB307" s="15" t="n">
        <x:v>2231</x:v>
      </x:c>
      <x:c r="AC307" s="15" t="n">
        <x:v>1006</x:v>
      </x:c>
      <x:c r="AD307" s="15" t="n">
        <x:v>3516</x:v>
      </x:c>
      <x:c r="AE307" s="15" t="n">
        <x:v>1353</x:v>
      </x:c>
      <x:c r="AF307" s="15" t="n">
        <x:v>8270</x:v>
      </x:c>
      <x:c r="AG307" s="15" t="n">
        <x:v>1790</x:v>
      </x:c>
      <x:c r="AH307" s="15" t="n">
        <x:v>3726</x:v>
      </x:c>
      <x:c r="AI307" s="15" t="n">
        <x:v>1336</x:v>
      </x:c>
    </x:row>
    <x:row r="308" ht="22" customHeight="1">
      <x:c r="A308" s="1" t="str">
        <x:v>310M700US40340</x:v>
      </x:c>
      <x:c r="B308" s="1" t="str">
        <x:v>40340</x:v>
      </x:c>
      <x:c r="C308" s="1" t="str">
        <x:v>Rochester, MN Metro Area</x:v>
      </x:c>
      <x:c r="D308" s="5" t="n">
        <x:v>2024</x:v>
      </x:c>
      <x:c r="E308" s="1" t="str">
        <x:v>ok</x:v>
      </x:c>
      <x:c r="F308" s="15" t="n">
        <x:v>24760</x:v>
      </x:c>
      <x:c r="G308" s="15" t="n">
        <x:v>1894</x:v>
      </x:c>
      <x:c r="H308" s="15" t="n">
        <x:v>22866</x:v>
      </x:c>
      <x:c r="I308" s="15" t="n">
        <x:v>11305</x:v>
      </x:c>
      <x:c r="J308" s="15" t="n">
        <x:v>4676</x:v>
      </x:c>
      <x:c r="K308" s="15" t="n">
        <x:v>49.440217</x:v>
      </x:c>
      <x:c r="L308" s="15" t="n">
        <x:v>20.449576</x:v>
      </x:c>
      <x:c r="M308" s="15" t="n">
        <x:v>7.649435</x:v>
      </x:c>
      <x:c r="N308" s="15" t="n">
        <x:v>24760</x:v>
      </x:c>
      <x:c r="O308" s="15" t="n">
        <x:v>2210</x:v>
      </x:c>
      <x:c r="P308" s="15" t="n">
        <x:v>1082</x:v>
      </x:c>
      <x:c r="Q308" s="15" t="n">
        <x:v>556</x:v>
      </x:c>
      <x:c r="R308" s="15" t="n">
        <x:v>1879</x:v>
      </x:c>
      <x:c r="S308" s="15" t="n">
        <x:v>693</x:v>
      </x:c>
      <x:c r="T308" s="15" t="n">
        <x:v>3304</x:v>
      </x:c>
      <x:c r="U308" s="15" t="n">
        <x:v>924</x:v>
      </x:c>
      <x:c r="V308" s="15" t="n">
        <x:v>2437</x:v>
      </x:c>
      <x:c r="W308" s="15" t="n">
        <x:v>840</x:v>
      </x:c>
      <x:c r="X308" s="15" t="n">
        <x:v>2859</x:v>
      </x:c>
      <x:c r="Y308" s="15" t="n">
        <x:v>810</x:v>
      </x:c>
      <x:c r="Z308" s="15" t="n">
        <x:v>2962</x:v>
      </x:c>
      <x:c r="AA308" s="15" t="n">
        <x:v>1255</x:v>
      </x:c>
      <x:c r="AB308" s="15" t="n">
        <x:v>1820</x:v>
      </x:c>
      <x:c r="AC308" s="15" t="n">
        <x:v>760</x:v>
      </x:c>
      <x:c r="AD308" s="15" t="n">
        <x:v>1847</x:v>
      </x:c>
      <x:c r="AE308" s="15" t="n">
        <x:v>631</x:v>
      </x:c>
      <x:c r="AF308" s="15" t="n">
        <x:v>4676</x:v>
      </x:c>
      <x:c r="AG308" s="15" t="n">
        <x:v>1434</x:v>
      </x:c>
      <x:c r="AH308" s="15" t="n">
        <x:v>1894</x:v>
      </x:c>
      <x:c r="AI308" s="15" t="n">
        <x:v>672</x:v>
      </x:c>
    </x:row>
    <x:row r="309" ht="22" customHeight="1">
      <x:c r="A309" s="1" t="str">
        <x:v>310M700US40380</x:v>
      </x:c>
      <x:c r="B309" s="1" t="str">
        <x:v>40380</x:v>
      </x:c>
      <x:c r="C309" s="1" t="str">
        <x:v>Rochester, NY Metro Area</x:v>
      </x:c>
      <x:c r="D309" s="5" t="n">
        <x:v>2024</x:v>
      </x:c>
      <x:c r="E309" s="1" t="str">
        <x:v>ok</x:v>
      </x:c>
      <x:c r="F309" s="15" t="n">
        <x:v>151515</x:v>
      </x:c>
      <x:c r="G309" s="15" t="n">
        <x:v>8719</x:v>
      </x:c>
      <x:c r="H309" s="15" t="n">
        <x:v>142796</x:v>
      </x:c>
      <x:c r="I309" s="15" t="n">
        <x:v>70974</x:v>
      </x:c>
      <x:c r="J309" s="15" t="n">
        <x:v>37880</x:v>
      </x:c>
      <x:c r="K309" s="15" t="n">
        <x:v>49.703073</x:v>
      </x:c>
      <x:c r="L309" s="15" t="n">
        <x:v>26.527354</x:v>
      </x:c>
      <x:c r="M309" s="15" t="n">
        <x:v>5.754546</x:v>
      </x:c>
      <x:c r="N309" s="15" t="n">
        <x:v>151515</x:v>
      </x:c>
      <x:c r="O309" s="15" t="n">
        <x:v>5279</x:v>
      </x:c>
      <x:c r="P309" s="15" t="n">
        <x:v>6259</x:v>
      </x:c>
      <x:c r="Q309" s="15" t="n">
        <x:v>1889</x:v>
      </x:c>
      <x:c r="R309" s="15" t="n">
        <x:v>11559</x:v>
      </x:c>
      <x:c r="S309" s="15" t="n">
        <x:v>2084</x:v>
      </x:c>
      <x:c r="T309" s="15" t="n">
        <x:v>17918</x:v>
      </x:c>
      <x:c r="U309" s="15" t="n">
        <x:v>2413</x:v>
      </x:c>
      <x:c r="V309" s="15" t="n">
        <x:v>18785</x:v>
      </x:c>
      <x:c r="W309" s="15" t="n">
        <x:v>2543</x:v>
      </x:c>
      <x:c r="X309" s="15" t="n">
        <x:v>17301</x:v>
      </x:c>
      <x:c r="Y309" s="15" t="n">
        <x:v>2669</x:v>
      </x:c>
      <x:c r="Z309" s="15" t="n">
        <x:v>11439</x:v>
      </x:c>
      <x:c r="AA309" s="15" t="n">
        <x:v>1971</x:v>
      </x:c>
      <x:c r="AB309" s="15" t="n">
        <x:v>9367</x:v>
      </x:c>
      <x:c r="AC309" s="15" t="n">
        <x:v>2094</x:v>
      </x:c>
      <x:c r="AD309" s="15" t="n">
        <x:v>12288</x:v>
      </x:c>
      <x:c r="AE309" s="15" t="n">
        <x:v>2301</x:v>
      </x:c>
      <x:c r="AF309" s="15" t="n">
        <x:v>37880</x:v>
      </x:c>
      <x:c r="AG309" s="15" t="n">
        <x:v>3402</x:v>
      </x:c>
      <x:c r="AH309" s="15" t="n">
        <x:v>8719</x:v>
      </x:c>
      <x:c r="AI309" s="15" t="n">
        <x:v>2047</x:v>
      </x:c>
    </x:row>
    <x:row r="310" ht="22" customHeight="1">
      <x:c r="A310" s="1" t="str">
        <x:v>310M700US40420</x:v>
      </x:c>
      <x:c r="B310" s="1" t="str">
        <x:v>40420</x:v>
      </x:c>
      <x:c r="C310" s="1" t="str">
        <x:v>Rockford, IL Metro Area</x:v>
      </x:c>
      <x:c r="D310" s="5" t="n">
        <x:v>2024</x:v>
      </x:c>
      <x:c r="E310" s="1" t="str">
        <x:v>ok</x:v>
      </x:c>
      <x:c r="F310" s="15" t="n">
        <x:v>43427</x:v>
      </x:c>
      <x:c r="G310" s="15" t="n">
        <x:v>2193</x:v>
      </x:c>
      <x:c r="H310" s="15" t="n">
        <x:v>41234</x:v>
      </x:c>
      <x:c r="I310" s="15" t="n">
        <x:v>20317</x:v>
      </x:c>
      <x:c r="J310" s="15" t="n">
        <x:v>10229</x:v>
      </x:c>
      <x:c r="K310" s="15" t="n">
        <x:v>49.272445</x:v>
      </x:c>
      <x:c r="L310" s="15" t="n">
        <x:v>24.807198</x:v>
      </x:c>
      <x:c r="M310" s="15" t="n">
        <x:v>5.049854</x:v>
      </x:c>
      <x:c r="N310" s="15" t="n">
        <x:v>43427</x:v>
      </x:c>
      <x:c r="O310" s="15" t="n">
        <x:v>2730</x:v>
      </x:c>
      <x:c r="P310" s="15" t="n">
        <x:v>2277</x:v>
      </x:c>
      <x:c r="Q310" s="15" t="n">
        <x:v>793</x:v>
      </x:c>
      <x:c r="R310" s="15" t="n">
        <x:v>3439</x:v>
      </x:c>
      <x:c r="S310" s="15" t="n">
        <x:v>1074</x:v>
      </x:c>
      <x:c r="T310" s="15" t="n">
        <x:v>6147</x:v>
      </x:c>
      <x:c r="U310" s="15" t="n">
        <x:v>1408</x:v>
      </x:c>
      <x:c r="V310" s="15" t="n">
        <x:v>4447</x:v>
      </x:c>
      <x:c r="W310" s="15" t="n">
        <x:v>1294</x:v>
      </x:c>
      <x:c r="X310" s="15" t="n">
        <x:v>4607</x:v>
      </x:c>
      <x:c r="Y310" s="15" t="n">
        <x:v>1080</x:v>
      </x:c>
      <x:c r="Z310" s="15" t="n">
        <x:v>4049</x:v>
      </x:c>
      <x:c r="AA310" s="15" t="n">
        <x:v>1338</x:v>
      </x:c>
      <x:c r="AB310" s="15" t="n">
        <x:v>2752</x:v>
      </x:c>
      <x:c r="AC310" s="15" t="n">
        <x:v>1019</x:v>
      </x:c>
      <x:c r="AD310" s="15" t="n">
        <x:v>3287</x:v>
      </x:c>
      <x:c r="AE310" s="15" t="n">
        <x:v>1026</x:v>
      </x:c>
      <x:c r="AF310" s="15" t="n">
        <x:v>10229</x:v>
      </x:c>
      <x:c r="AG310" s="15" t="n">
        <x:v>1706</x:v>
      </x:c>
      <x:c r="AH310" s="15" t="n">
        <x:v>2193</x:v>
      </x:c>
      <x:c r="AI310" s="15" t="n">
        <x:v>1089</x:v>
      </x:c>
    </x:row>
    <x:row r="311" ht="22" customHeight="1">
      <x:c r="A311" s="1" t="str">
        <x:v>310M700US40580</x:v>
      </x:c>
      <x:c r="B311" s="1" t="str">
        <x:v>40580</x:v>
      </x:c>
      <x:c r="C311" s="1" t="str">
        <x:v>Rocky Mount, NC Metro Area</x:v>
      </x:c>
      <x:c r="D311" s="5" t="n">
        <x:v>2024</x:v>
      </x:c>
      <x:c r="E311" s="1" t="str">
        <x:v>ok</x:v>
      </x:c>
      <x:c r="F311" s="15" t="n">
        <x:v>22086</x:v>
      </x:c>
      <x:c r="G311" s="15" t="n">
        <x:v>2184</x:v>
      </x:c>
      <x:c r="H311" s="15" t="n">
        <x:v>19902</x:v>
      </x:c>
      <x:c r="I311" s="15" t="n">
        <x:v>9580</x:v>
      </x:c>
      <x:c r="J311" s="15" t="n">
        <x:v>4288</x:v>
      </x:c>
      <x:c r="K311" s="15" t="n">
        <x:v>48.135866</x:v>
      </x:c>
      <x:c r="L311" s="15" t="n">
        <x:v>21.545573</x:v>
      </x:c>
      <x:c r="M311" s="15" t="n">
        <x:v>9.888617</x:v>
      </x:c>
      <x:c r="N311" s="15" t="n">
        <x:v>22086</x:v>
      </x:c>
      <x:c r="O311" s="15" t="n">
        <x:v>2322</x:v>
      </x:c>
      <x:c r="P311" s="15" t="n">
        <x:v>816</x:v>
      </x:c>
      <x:c r="Q311" s="15" t="n">
        <x:v>578</x:v>
      </x:c>
      <x:c r="R311" s="15" t="n">
        <x:v>1659</x:v>
      </x:c>
      <x:c r="S311" s="15" t="n">
        <x:v>813</x:v>
      </x:c>
      <x:c r="T311" s="15" t="n">
        <x:v>2765</x:v>
      </x:c>
      <x:c r="U311" s="15" t="n">
        <x:v>1051</x:v>
      </x:c>
      <x:c r="V311" s="15" t="n">
        <x:v>2154</x:v>
      </x:c>
      <x:c r="W311" s="15" t="n">
        <x:v>836</x:v>
      </x:c>
      <x:c r="X311" s="15" t="n">
        <x:v>2928</x:v>
      </x:c>
      <x:c r="Y311" s="15" t="n">
        <x:v>1468</x:v>
      </x:c>
      <x:c r="Z311" s="15" t="n">
        <x:v>2260</x:v>
      </x:c>
      <x:c r="AA311" s="15" t="n">
        <x:v>1109</x:v>
      </x:c>
      <x:c r="AB311" s="15" t="n">
        <x:v>926</x:v>
      </x:c>
      <x:c r="AC311" s="15" t="n">
        <x:v>623</x:v>
      </x:c>
      <x:c r="AD311" s="15" t="n">
        <x:v>2106</x:v>
      </x:c>
      <x:c r="AE311" s="15" t="n">
        <x:v>1199</x:v>
      </x:c>
      <x:c r="AF311" s="15" t="n">
        <x:v>4288</x:v>
      </x:c>
      <x:c r="AG311" s="15" t="n">
        <x:v>1263</x:v>
      </x:c>
      <x:c r="AH311" s="15" t="n">
        <x:v>2184</x:v>
      </x:c>
      <x:c r="AI311" s="15" t="n">
        <x:v>845</x:v>
      </x:c>
    </x:row>
    <x:row r="312" ht="22" customHeight="1">
      <x:c r="A312" s="1" t="str">
        <x:v>310M700US40660</x:v>
      </x:c>
      <x:c r="B312" s="1" t="str">
        <x:v>40660</x:v>
      </x:c>
      <x:c r="C312" s="1" t="str">
        <x:v>Rome, GA Metro Area</x:v>
      </x:c>
      <x:c r="D312" s="5" t="n">
        <x:v>2024</x:v>
      </x:c>
      <x:c r="E312" s="1" t="str">
        <x:v>ok</x:v>
      </x:c>
      <x:c r="F312" s="15" t="n">
        <x:v>13733</x:v>
      </x:c>
      <x:c r="G312" s="15" t="n">
        <x:v>1448</x:v>
      </x:c>
      <x:c r="H312" s="15" t="n">
        <x:v>12285</x:v>
      </x:c>
      <x:c r="I312" s="15" t="n">
        <x:v>6161</x:v>
      </x:c>
      <x:c r="J312" s="15" t="n">
        <x:v>1718</x:v>
      </x:c>
      <x:c r="K312" s="15" t="n">
        <x:v>50.15059</x:v>
      </x:c>
      <x:c r="L312" s="15" t="n">
        <x:v>13.984534</x:v>
      </x:c>
      <x:c r="M312" s="15" t="n">
        <x:v>10.543945</x:v>
      </x:c>
      <x:c r="N312" s="15" t="n">
        <x:v>13733</x:v>
      </x:c>
      <x:c r="O312" s="15" t="n">
        <x:v>1590</x:v>
      </x:c>
      <x:c r="P312" s="15" t="n">
        <x:v>298</x:v>
      </x:c>
      <x:c r="Q312" s="15" t="n">
        <x:v>383</x:v>
      </x:c>
      <x:c r="R312" s="15" t="n">
        <x:v>1187</x:v>
      </x:c>
      <x:c r="S312" s="15" t="n">
        <x:v>730</x:v>
      </x:c>
      <x:c r="T312" s="15" t="n">
        <x:v>1395</x:v>
      </x:c>
      <x:c r="U312" s="15" t="n">
        <x:v>596</x:v>
      </x:c>
      <x:c r="V312" s="15" t="n">
        <x:v>2280</x:v>
      </x:c>
      <x:c r="W312" s="15" t="n">
        <x:v>982</x:v>
      </x:c>
      <x:c r="X312" s="15" t="n">
        <x:v>964</x:v>
      </x:c>
      <x:c r="Y312" s="15" t="n">
        <x:v>597</x:v>
      </x:c>
      <x:c r="Z312" s="15" t="n">
        <x:v>1386</x:v>
      </x:c>
      <x:c r="AA312" s="15" t="n">
        <x:v>701</x:v>
      </x:c>
      <x:c r="AB312" s="15" t="n">
        <x:v>1188</x:v>
      </x:c>
      <x:c r="AC312" s="15" t="n">
        <x:v>582</x:v>
      </x:c>
      <x:c r="AD312" s="15" t="n">
        <x:v>1869</x:v>
      </x:c>
      <x:c r="AE312" s="15" t="n">
        <x:v>830</x:v>
      </x:c>
      <x:c r="AF312" s="15" t="n">
        <x:v>1718</x:v>
      </x:c>
      <x:c r="AG312" s="15" t="n">
        <x:v>792</x:v>
      </x:c>
      <x:c r="AH312" s="15" t="n">
        <x:v>1448</x:v>
      </x:c>
      <x:c r="AI312" s="15" t="n">
        <x:v>886</x:v>
      </x:c>
    </x:row>
    <x:row r="313" ht="22" customHeight="1">
      <x:c r="A313" s="1" t="str">
        <x:v>310M700US40900</x:v>
      </x:c>
      <x:c r="B313" s="1" t="str">
        <x:v>40900</x:v>
      </x:c>
      <x:c r="C313" s="1" t="str">
        <x:v>Sacramento-Roseville-Folsom, CA Metro Area</x:v>
      </x:c>
      <x:c r="D313" s="5" t="n">
        <x:v>2024</x:v>
      </x:c>
      <x:c r="E313" s="1" t="str">
        <x:v>ok</x:v>
      </x:c>
      <x:c r="F313" s="15" t="n">
        <x:v>327388</x:v>
      </x:c>
      <x:c r="G313" s="15" t="n">
        <x:v>19879</x:v>
      </x:c>
      <x:c r="H313" s="15" t="n">
        <x:v>307509</x:v>
      </x:c>
      <x:c r="I313" s="15" t="n">
        <x:v>175699</x:v>
      </x:c>
      <x:c r="J313" s="15" t="n">
        <x:v>96504</x:v>
      </x:c>
      <x:c r="K313" s="15" t="n">
        <x:v>57.136214</x:v>
      </x:c>
      <x:c r="L313" s="15" t="n">
        <x:v>31.382496</x:v>
      </x:c>
      <x:c r="M313" s="15" t="n">
        <x:v>6.072</x:v>
      </x:c>
      <x:c r="N313" s="15" t="n">
        <x:v>327388</x:v>
      </x:c>
      <x:c r="O313" s="15" t="n">
        <x:v>7797</x:v>
      </x:c>
      <x:c r="P313" s="15" t="n">
        <x:v>6529</x:v>
      </x:c>
      <x:c r="Q313" s="15" t="n">
        <x:v>1586</x:v>
      </x:c>
      <x:c r="R313" s="15" t="n">
        <x:v>19644</x:v>
      </x:c>
      <x:c r="S313" s="15" t="n">
        <x:v>2794</x:v>
      </x:c>
      <x:c r="T313" s="15" t="n">
        <x:v>30899</x:v>
      </x:c>
      <x:c r="U313" s="15" t="n">
        <x:v>3048</x:v>
      </x:c>
      <x:c r="V313" s="15" t="n">
        <x:v>41169</x:v>
      </x:c>
      <x:c r="W313" s="15" t="n">
        <x:v>4307</x:v>
      </x:c>
      <x:c r="X313" s="15" t="n">
        <x:v>33569</x:v>
      </x:c>
      <x:c r="Y313" s="15" t="n">
        <x:v>3285</x:v>
      </x:c>
      <x:c r="Z313" s="15" t="n">
        <x:v>29674</x:v>
      </x:c>
      <x:c r="AA313" s="15" t="n">
        <x:v>3486</x:v>
      </x:c>
      <x:c r="AB313" s="15" t="n">
        <x:v>21631</x:v>
      </x:c>
      <x:c r="AC313" s="15" t="n">
        <x:v>2626</x:v>
      </x:c>
      <x:c r="AD313" s="15" t="n">
        <x:v>27890</x:v>
      </x:c>
      <x:c r="AE313" s="15" t="n">
        <x:v>3248</x:v>
      </x:c>
      <x:c r="AF313" s="15" t="n">
        <x:v>96504</x:v>
      </x:c>
      <x:c r="AG313" s="15" t="n">
        <x:v>5521</x:v>
      </x:c>
      <x:c r="AH313" s="15" t="n">
        <x:v>19879</x:v>
      </x:c>
      <x:c r="AI313" s="15" t="n">
        <x:v>2868</x:v>
      </x:c>
    </x:row>
    <x:row r="314" ht="22" customHeight="1">
      <x:c r="A314" s="1" t="str">
        <x:v>310M700US40980</x:v>
      </x:c>
      <x:c r="B314" s="1" t="str">
        <x:v>40980</x:v>
      </x:c>
      <x:c r="C314" s="1" t="str">
        <x:v>Saginaw, MI Metro Area</x:v>
      </x:c>
      <x:c r="D314" s="5" t="n">
        <x:v>2024</x:v>
      </x:c>
      <x:c r="E314" s="1" t="str">
        <x:v>ok</x:v>
      </x:c>
      <x:c r="F314" s="15" t="n">
        <x:v>19671</x:v>
      </x:c>
      <x:c r="G314" s="15" t="n">
        <x:v>1801</x:v>
      </x:c>
      <x:c r="H314" s="15" t="n">
        <x:v>17870</x:v>
      </x:c>
      <x:c r="I314" s="15" t="n">
        <x:v>9517</x:v>
      </x:c>
      <x:c r="J314" s="15" t="n">
        <x:v>5531</x:v>
      </x:c>
      <x:c r="K314" s="15" t="n">
        <x:v>53.256855</x:v>
      </x:c>
      <x:c r="L314" s="15" t="n">
        <x:v>30.951315</x:v>
      </x:c>
      <x:c r="M314" s="15" t="n">
        <x:v>9.15561</x:v>
      </x:c>
      <x:c r="N314" s="15" t="n">
        <x:v>19671</x:v>
      </x:c>
      <x:c r="O314" s="15" t="n">
        <x:v>1922</x:v>
      </x:c>
      <x:c r="P314" s="15" t="n">
        <x:v>678</x:v>
      </x:c>
      <x:c r="Q314" s="15" t="n">
        <x:v>398</x:v>
      </x:c>
      <x:c r="R314" s="15" t="n">
        <x:v>2032</x:v>
      </x:c>
      <x:c r="S314" s="15" t="n">
        <x:v>881</x:v>
      </x:c>
      <x:c r="T314" s="15" t="n">
        <x:v>2325</x:v>
      </x:c>
      <x:c r="U314" s="15" t="n">
        <x:v>897</x:v>
      </x:c>
      <x:c r="V314" s="15" t="n">
        <x:v>2254</x:v>
      </x:c>
      <x:c r="W314" s="15" t="n">
        <x:v>1028</x:v>
      </x:c>
      <x:c r="X314" s="15" t="n">
        <x:v>1064</x:v>
      </x:c>
      <x:c r="Y314" s="15" t="n">
        <x:v>576</x:v>
      </x:c>
      <x:c r="Z314" s="15" t="n">
        <x:v>1479</x:v>
      </x:c>
      <x:c r="AA314" s="15" t="n">
        <x:v>782</x:v>
      </x:c>
      <x:c r="AB314" s="15" t="n">
        <x:v>690</x:v>
      </x:c>
      <x:c r="AC314" s="15" t="n">
        <x:v>527</x:v>
      </x:c>
      <x:c r="AD314" s="15" t="n">
        <x:v>1817</x:v>
      </x:c>
      <x:c r="AE314" s="15" t="n">
        <x:v>851</x:v>
      </x:c>
      <x:c r="AF314" s="15" t="n">
        <x:v>5531</x:v>
      </x:c>
      <x:c r="AG314" s="15" t="n">
        <x:v>1448</x:v>
      </x:c>
      <x:c r="AH314" s="15" t="n">
        <x:v>1801</x:v>
      </x:c>
      <x:c r="AI314" s="15" t="n">
        <x:v>832</x:v>
      </x:c>
    </x:row>
    <x:row r="315" ht="22" customHeight="1">
      <x:c r="A315" s="1" t="str">
        <x:v>310M700US41420</x:v>
      </x:c>
      <x:c r="B315" s="1" t="str">
        <x:v>41420</x:v>
      </x:c>
      <x:c r="C315" s="1" t="str">
        <x:v>Salem, OR Metro Area</x:v>
      </x:c>
      <x:c r="D315" s="5" t="n">
        <x:v>2024</x:v>
      </x:c>
      <x:c r="E315" s="1" t="str">
        <x:v>ok</x:v>
      </x:c>
      <x:c r="F315" s="15" t="n">
        <x:v>61708</x:v>
      </x:c>
      <x:c r="G315" s="15" t="n">
        <x:v>1907</x:v>
      </x:c>
      <x:c r="H315" s="15" t="n">
        <x:v>59801</x:v>
      </x:c>
      <x:c r="I315" s="15" t="n">
        <x:v>31850</x:v>
      </x:c>
      <x:c r="J315" s="15" t="n">
        <x:v>14837</x:v>
      </x:c>
      <x:c r="K315" s="15" t="n">
        <x:v>53.259979</x:v>
      </x:c>
      <x:c r="L315" s="15" t="n">
        <x:v>24.810622</x:v>
      </x:c>
      <x:c r="M315" s="15" t="n">
        <x:v>3.090361</x:v>
      </x:c>
      <x:c r="N315" s="15" t="n">
        <x:v>61708</x:v>
      </x:c>
      <x:c r="O315" s="15" t="n">
        <x:v>3352</x:v>
      </x:c>
      <x:c r="P315" s="15" t="n">
        <x:v>2127</x:v>
      </x:c>
      <x:c r="Q315" s="15" t="n">
        <x:v>1028</x:v>
      </x:c>
      <x:c r="R315" s="15" t="n">
        <x:v>3408</x:v>
      </x:c>
      <x:c r="S315" s="15" t="n">
        <x:v>1198</x:v>
      </x:c>
      <x:c r="T315" s="15" t="n">
        <x:v>6895</x:v>
      </x:c>
      <x:c r="U315" s="15" t="n">
        <x:v>1577</x:v>
      </x:c>
      <x:c r="V315" s="15" t="n">
        <x:v>7395</x:v>
      </x:c>
      <x:c r="W315" s="15" t="n">
        <x:v>1568</x:v>
      </x:c>
      <x:c r="X315" s="15" t="n">
        <x:v>8126</x:v>
      </x:c>
      <x:c r="Y315" s="15" t="n">
        <x:v>1882</x:v>
      </x:c>
      <x:c r="Z315" s="15" t="n">
        <x:v>7680</x:v>
      </x:c>
      <x:c r="AA315" s="15" t="n">
        <x:v>1736</x:v>
      </x:c>
      <x:c r="AB315" s="15" t="n">
        <x:v>4526</x:v>
      </x:c>
      <x:c r="AC315" s="15" t="n">
        <x:v>1617</x:v>
      </x:c>
      <x:c r="AD315" s="15" t="n">
        <x:v>4807</x:v>
      </x:c>
      <x:c r="AE315" s="15" t="n">
        <x:v>1653</x:v>
      </x:c>
      <x:c r="AF315" s="15" t="n">
        <x:v>14837</x:v>
      </x:c>
      <x:c r="AG315" s="15" t="n">
        <x:v>2146</x:v>
      </x:c>
      <x:c r="AH315" s="15" t="n">
        <x:v>1907</x:v>
      </x:c>
      <x:c r="AI315" s="15" t="n">
        <x:v>769</x:v>
      </x:c>
    </x:row>
    <x:row r="316" ht="22" customHeight="1">
      <x:c r="A316" s="1" t="str">
        <x:v>310M700US41500</x:v>
      </x:c>
      <x:c r="B316" s="1" t="str">
        <x:v>41500</x:v>
      </x:c>
      <x:c r="C316" s="1" t="str">
        <x:v>Salinas, CA Metro Area</x:v>
      </x:c>
      <x:c r="D316" s="5" t="n">
        <x:v>2024</x:v>
      </x:c>
      <x:c r="E316" s="1" t="str">
        <x:v>ok</x:v>
      </x:c>
      <x:c r="F316" s="15" t="n">
        <x:v>62754</x:v>
      </x:c>
      <x:c r="G316" s="15" t="n">
        <x:v>1967</x:v>
      </x:c>
      <x:c r="H316" s="15" t="n">
        <x:v>60787</x:v>
      </x:c>
      <x:c r="I316" s="15" t="n">
        <x:v>35250</x:v>
      </x:c>
      <x:c r="J316" s="15" t="n">
        <x:v>16798</x:v>
      </x:c>
      <x:c r="K316" s="15" t="n">
        <x:v>57.989373</x:v>
      </x:c>
      <x:c r="L316" s="15" t="n">
        <x:v>27.634198</x:v>
      </x:c>
      <x:c r="M316" s="15" t="n">
        <x:v>3.134462</x:v>
      </x:c>
      <x:c r="N316" s="15" t="n">
        <x:v>62754</x:v>
      </x:c>
      <x:c r="O316" s="15" t="n">
        <x:v>2916</x:v>
      </x:c>
      <x:c r="P316" s="15" t="n">
        <x:v>1492</x:v>
      </x:c>
      <x:c r="Q316" s="15" t="n">
        <x:v>713</x:v>
      </x:c>
      <x:c r="R316" s="15" t="n">
        <x:v>4037</x:v>
      </x:c>
      <x:c r="S316" s="15" t="n">
        <x:v>1200</x:v>
      </x:c>
      <x:c r="T316" s="15" t="n">
        <x:v>5840</x:v>
      </x:c>
      <x:c r="U316" s="15" t="n">
        <x:v>1315</x:v>
      </x:c>
      <x:c r="V316" s="15" t="n">
        <x:v>7541</x:v>
      </x:c>
      <x:c r="W316" s="15" t="n">
        <x:v>1491</x:v>
      </x:c>
      <x:c r="X316" s="15" t="n">
        <x:v>6627</x:v>
      </x:c>
      <x:c r="Y316" s="15" t="n">
        <x:v>1491</x:v>
      </x:c>
      <x:c r="Z316" s="15" t="n">
        <x:v>5888</x:v>
      </x:c>
      <x:c r="AA316" s="15" t="n">
        <x:v>1423</x:v>
      </x:c>
      <x:c r="AB316" s="15" t="n">
        <x:v>3826</x:v>
      </x:c>
      <x:c r="AC316" s="15" t="n">
        <x:v>1342</x:v>
      </x:c>
      <x:c r="AD316" s="15" t="n">
        <x:v>8738</x:v>
      </x:c>
      <x:c r="AE316" s="15" t="n">
        <x:v>1987</x:v>
      </x:c>
      <x:c r="AF316" s="15" t="n">
        <x:v>16798</x:v>
      </x:c>
      <x:c r="AG316" s="15" t="n">
        <x:v>2328</x:v>
      </x:c>
      <x:c r="AH316" s="15" t="n">
        <x:v>1967</x:v>
      </x:c>
      <x:c r="AI316" s="15" t="n">
        <x:v>727</x:v>
      </x:c>
    </x:row>
    <x:row r="317" ht="22" customHeight="1">
      <x:c r="A317" s="1" t="str">
        <x:v>310M700US41540</x:v>
      </x:c>
      <x:c r="B317" s="1" t="str">
        <x:v>41540</x:v>
      </x:c>
      <x:c r="C317" s="1" t="str">
        <x:v>Salisbury, MD Metro Area</x:v>
      </x:c>
      <x:c r="D317" s="5" t="n">
        <x:v>2024</x:v>
      </x:c>
      <x:c r="E317" s="1" t="str">
        <x:v>ok</x:v>
      </x:c>
      <x:c r="F317" s="15" t="n">
        <x:v>15349</x:v>
      </x:c>
      <x:c r="G317" s="15" t="n">
        <x:v>1311</x:v>
      </x:c>
      <x:c r="H317" s="15" t="n">
        <x:v>14038</x:v>
      </x:c>
      <x:c r="I317" s="15" t="n">
        <x:v>8036</x:v>
      </x:c>
      <x:c r="J317" s="15" t="n">
        <x:v>4542</x:v>
      </x:c>
      <x:c r="K317" s="15" t="n">
        <x:v>57.244622</x:v>
      </x:c>
      <x:c r="L317" s="15" t="n">
        <x:v>32.355036</x:v>
      </x:c>
      <x:c r="M317" s="15" t="n">
        <x:v>8.541273</x:v>
      </x:c>
      <x:c r="N317" s="15" t="n">
        <x:v>15349</x:v>
      </x:c>
      <x:c r="O317" s="15" t="n">
        <x:v>1802</x:v>
      </x:c>
      <x:c r="P317" s="15" t="n">
        <x:v>305</x:v>
      </x:c>
      <x:c r="Q317" s="15" t="n">
        <x:v>292</x:v>
      </x:c>
      <x:c r="R317" s="15" t="n">
        <x:v>1065</x:v>
      </x:c>
      <x:c r="S317" s="15" t="n">
        <x:v>434</x:v>
      </x:c>
      <x:c r="T317" s="15" t="n">
        <x:v>1965</x:v>
      </x:c>
      <x:c r="U317" s="15" t="n">
        <x:v>900</x:v>
      </x:c>
      <x:c r="V317" s="15" t="n">
        <x:v>991</x:v>
      </x:c>
      <x:c r="W317" s="15" t="n">
        <x:v>543</x:v>
      </x:c>
      <x:c r="X317" s="15" t="n">
        <x:v>1676</x:v>
      </x:c>
      <x:c r="Y317" s="15" t="n">
        <x:v>1188</x:v>
      </x:c>
      <x:c r="Z317" s="15" t="n">
        <x:v>2098</x:v>
      </x:c>
      <x:c r="AA317" s="15" t="n">
        <x:v>1015</x:v>
      </x:c>
      <x:c r="AB317" s="15" t="n">
        <x:v>507</x:v>
      </x:c>
      <x:c r="AC317" s="15" t="n">
        <x:v>420</x:v>
      </x:c>
      <x:c r="AD317" s="15" t="n">
        <x:v>889</x:v>
      </x:c>
      <x:c r="AE317" s="15" t="n">
        <x:v>616</x:v>
      </x:c>
      <x:c r="AF317" s="15" t="n">
        <x:v>4542</x:v>
      </x:c>
      <x:c r="AG317" s="15" t="n">
        <x:v>1165</x:v>
      </x:c>
      <x:c r="AH317" s="15" t="n">
        <x:v>1311</x:v>
      </x:c>
      <x:c r="AI317" s="15" t="n">
        <x:v>662</x:v>
      </x:c>
    </x:row>
    <x:row r="318" ht="22" customHeight="1">
      <x:c r="A318" s="1" t="str">
        <x:v>310M700US41620</x:v>
      </x:c>
      <x:c r="B318" s="1" t="str">
        <x:v>41620</x:v>
      </x:c>
      <x:c r="C318" s="1" t="str">
        <x:v>Salt Lake City-Murray, UT Metro Area</x:v>
      </x:c>
      <x:c r="D318" s="5" t="n">
        <x:v>2024</x:v>
      </x:c>
      <x:c r="E318" s="1" t="str">
        <x:v>ok</x:v>
      </x:c>
      <x:c r="F318" s="15" t="n">
        <x:v>162475</x:v>
      </x:c>
      <x:c r="G318" s="15" t="n">
        <x:v>6701</x:v>
      </x:c>
      <x:c r="H318" s="15" t="n">
        <x:v>155774</x:v>
      </x:c>
      <x:c r="I318" s="15" t="n">
        <x:v>78387</x:v>
      </x:c>
      <x:c r="J318" s="15" t="n">
        <x:v>35091</x:v>
      </x:c>
      <x:c r="K318" s="15" t="n">
        <x:v>50.320978</x:v>
      </x:c>
      <x:c r="L318" s="15" t="n">
        <x:v>22.526866</x:v>
      </x:c>
      <x:c r="M318" s="15" t="n">
        <x:v>4.124327</x:v>
      </x:c>
      <x:c r="N318" s="15" t="n">
        <x:v>162475</x:v>
      </x:c>
      <x:c r="O318" s="15" t="n">
        <x:v>6356</x:v>
      </x:c>
      <x:c r="P318" s="15" t="n">
        <x:v>4591</x:v>
      </x:c>
      <x:c r="Q318" s="15" t="n">
        <x:v>1220</x:v>
      </x:c>
      <x:c r="R318" s="15" t="n">
        <x:v>10221</x:v>
      </x:c>
      <x:c r="S318" s="15" t="n">
        <x:v>1914</x:v>
      </x:c>
      <x:c r="T318" s="15" t="n">
        <x:v>21564</x:v>
      </x:c>
      <x:c r="U318" s="15" t="n">
        <x:v>3447</x:v>
      </x:c>
      <x:c r="V318" s="15" t="n">
        <x:v>19524</x:v>
      </x:c>
      <x:c r="W318" s="15" t="n">
        <x:v>2729</x:v>
      </x:c>
      <x:c r="X318" s="15" t="n">
        <x:v>21487</x:v>
      </x:c>
      <x:c r="Y318" s="15" t="n">
        <x:v>2945</x:v>
      </x:c>
      <x:c r="Z318" s="15" t="n">
        <x:v>17400</x:v>
      </x:c>
      <x:c r="AA318" s="15" t="n">
        <x:v>2567</x:v>
      </x:c>
      <x:c r="AB318" s="15" t="n">
        <x:v>11432</x:v>
      </x:c>
      <x:c r="AC318" s="15" t="n">
        <x:v>2191</x:v>
      </x:c>
      <x:c r="AD318" s="15" t="n">
        <x:v>14464</x:v>
      </x:c>
      <x:c r="AE318" s="15" t="n">
        <x:v>2684</x:v>
      </x:c>
      <x:c r="AF318" s="15" t="n">
        <x:v>35091</x:v>
      </x:c>
      <x:c r="AG318" s="15" t="n">
        <x:v>3377</x:v>
      </x:c>
      <x:c r="AH318" s="15" t="n">
        <x:v>6701</x:v>
      </x:c>
      <x:c r="AI318" s="15" t="n">
        <x:v>1746</x:v>
      </x:c>
    </x:row>
    <x:row r="319" ht="22" customHeight="1">
      <x:c r="A319" s="1" t="str">
        <x:v>310M700US41660</x:v>
      </x:c>
      <x:c r="B319" s="1" t="str">
        <x:v>41660</x:v>
      </x:c>
      <x:c r="C319" s="1" t="str">
        <x:v>San Angelo, TX Metro Area</x:v>
      </x:c>
      <x:c r="D319" s="5" t="n">
        <x:v>2024</x:v>
      </x:c>
      <x:c r="E319" s="1" t="str">
        <x:v>ok</x:v>
      </x:c>
      <x:c r="F319" s="15" t="n">
        <x:v>20094</x:v>
      </x:c>
      <x:c r="G319" s="15" t="n">
        <x:v>1503</x:v>
      </x:c>
      <x:c r="H319" s="15" t="n">
        <x:v>18591</x:v>
      </x:c>
      <x:c r="I319" s="15" t="n">
        <x:v>7928</x:v>
      </x:c>
      <x:c r="J319" s="15" t="n">
        <x:v>3330</x:v>
      </x:c>
      <x:c r="K319" s="15" t="n">
        <x:v>42.64429</x:v>
      </x:c>
      <x:c r="L319" s="15" t="n">
        <x:v>17.911893</x:v>
      </x:c>
      <x:c r="M319" s="15" t="n">
        <x:v>7.479845</x:v>
      </x:c>
      <x:c r="N319" s="15" t="n">
        <x:v>20094</x:v>
      </x:c>
      <x:c r="O319" s="15" t="n">
        <x:v>1966</x:v>
      </x:c>
      <x:c r="P319" s="15" t="n">
        <x:v>1029</x:v>
      </x:c>
      <x:c r="Q319" s="15" t="n">
        <x:v>1038</x:v>
      </x:c>
      <x:c r="R319" s="15" t="n">
        <x:v>1472</x:v>
      </x:c>
      <x:c r="S319" s="15" t="n">
        <x:v>625</x:v>
      </x:c>
      <x:c r="T319" s="15" t="n">
        <x:v>2704</x:v>
      </x:c>
      <x:c r="U319" s="15" t="n">
        <x:v>1014</x:v>
      </x:c>
      <x:c r="V319" s="15" t="n">
        <x:v>2789</x:v>
      </x:c>
      <x:c r="W319" s="15" t="n">
        <x:v>1090</x:v>
      </x:c>
      <x:c r="X319" s="15" t="n">
        <x:v>2669</x:v>
      </x:c>
      <x:c r="Y319" s="15" t="n">
        <x:v>1080</x:v>
      </x:c>
      <x:c r="Z319" s="15" t="n">
        <x:v>2387</x:v>
      </x:c>
      <x:c r="AA319" s="15" t="n">
        <x:v>890</x:v>
      </x:c>
      <x:c r="AB319" s="15" t="n">
        <x:v>810</x:v>
      </x:c>
      <x:c r="AC319" s="15" t="n">
        <x:v>626</x:v>
      </x:c>
      <x:c r="AD319" s="15" t="n">
        <x:v>1401</x:v>
      </x:c>
      <x:c r="AE319" s="15" t="n">
        <x:v>791</x:v>
      </x:c>
      <x:c r="AF319" s="15" t="n">
        <x:v>3330</x:v>
      </x:c>
      <x:c r="AG319" s="15" t="n">
        <x:v>1277</x:v>
      </x:c>
      <x:c r="AH319" s="15" t="n">
        <x:v>1503</x:v>
      </x:c>
      <x:c r="AI319" s="15" t="n">
        <x:v>986</x:v>
      </x:c>
    </x:row>
    <x:row r="320" ht="22" customHeight="1">
      <x:c r="A320" s="1" t="str">
        <x:v>310M700US41700</x:v>
      </x:c>
      <x:c r="B320" s="1" t="str">
        <x:v>41700</x:v>
      </x:c>
      <x:c r="C320" s="1" t="str">
        <x:v>San Antonio-New Braunfels, TX Metro Area</x:v>
      </x:c>
      <x:c r="D320" s="5" t="n">
        <x:v>2024</x:v>
      </x:c>
      <x:c r="E320" s="1" t="str">
        <x:v>ok</x:v>
      </x:c>
      <x:c r="F320" s="15" t="n">
        <x:v>371338</x:v>
      </x:c>
      <x:c r="G320" s="15" t="n">
        <x:v>21443</x:v>
      </x:c>
      <x:c r="H320" s="15" t="n">
        <x:v>349895</x:v>
      </x:c>
      <x:c r="I320" s="15" t="n">
        <x:v>192034</x:v>
      </x:c>
      <x:c r="J320" s="15" t="n">
        <x:v>93105</x:v>
      </x:c>
      <x:c r="K320" s="15" t="n">
        <x:v>54.883322</x:v>
      </x:c>
      <x:c r="L320" s="15" t="n">
        <x:v>26.609411</x:v>
      </x:c>
      <x:c r="M320" s="15" t="n">
        <x:v>5.774523</x:v>
      </x:c>
      <x:c r="N320" s="15" t="n">
        <x:v>371338</x:v>
      </x:c>
      <x:c r="O320" s="15" t="n">
        <x:v>10447</x:v>
      </x:c>
      <x:c r="P320" s="15" t="n">
        <x:v>8870</x:v>
      </x:c>
      <x:c r="Q320" s="15" t="n">
        <x:v>2065</x:v>
      </x:c>
      <x:c r="R320" s="15" t="n">
        <x:v>23094</x:v>
      </x:c>
      <x:c r="S320" s="15" t="n">
        <x:v>3196</x:v>
      </x:c>
      <x:c r="T320" s="15" t="n">
        <x:v>39672</x:v>
      </x:c>
      <x:c r="U320" s="15" t="n">
        <x:v>5395</x:v>
      </x:c>
      <x:c r="V320" s="15" t="n">
        <x:v>44946</x:v>
      </x:c>
      <x:c r="W320" s="15" t="n">
        <x:v>5363</x:v>
      </x:c>
      <x:c r="X320" s="15" t="n">
        <x:v>41279</x:v>
      </x:c>
      <x:c r="Y320" s="15" t="n">
        <x:v>4755</x:v>
      </x:c>
      <x:c r="Z320" s="15" t="n">
        <x:v>33453</x:v>
      </x:c>
      <x:c r="AA320" s="15" t="n">
        <x:v>4523</x:v>
      </x:c>
      <x:c r="AB320" s="15" t="n">
        <x:v>29430</x:v>
      </x:c>
      <x:c r="AC320" s="15" t="n">
        <x:v>4473</x:v>
      </x:c>
      <x:c r="AD320" s="15" t="n">
        <x:v>36046</x:v>
      </x:c>
      <x:c r="AE320" s="15" t="n">
        <x:v>4848</x:v>
      </x:c>
      <x:c r="AF320" s="15" t="n">
        <x:v>93105</x:v>
      </x:c>
      <x:c r="AG320" s="15" t="n">
        <x:v>6282</x:v>
      </x:c>
      <x:c r="AH320" s="15" t="n">
        <x:v>21443</x:v>
      </x:c>
      <x:c r="AI320" s="15" t="n">
        <x:v>3385</x:v>
      </x:c>
    </x:row>
    <x:row r="321" ht="22" customHeight="1">
      <x:c r="A321" s="1" t="str">
        <x:v>310M700US41740</x:v>
      </x:c>
      <x:c r="B321" s="1" t="str">
        <x:v>41740</x:v>
      </x:c>
      <x:c r="C321" s="1" t="str">
        <x:v>San Diego-Chula Vista-Carlsbad, CA Metro Area</x:v>
      </x:c>
      <x:c r="D321" s="5" t="n">
        <x:v>2024</x:v>
      </x:c>
      <x:c r="E321" s="1" t="str">
        <x:v>ok</x:v>
      </x:c>
      <x:c r="F321" s="15" t="n">
        <x:v>539908</x:v>
      </x:c>
      <x:c r="G321" s="15" t="n">
        <x:v>22648</x:v>
      </x:c>
      <x:c r="H321" s="15" t="n">
        <x:v>517260</x:v>
      </x:c>
      <x:c r="I321" s="15" t="n">
        <x:v>301352</x:v>
      </x:c>
      <x:c r="J321" s="15" t="n">
        <x:v>153845</x:v>
      </x:c>
      <x:c r="K321" s="15" t="n">
        <x:v>58.259289</x:v>
      </x:c>
      <x:c r="L321" s="15" t="n">
        <x:v>29.742296</x:v>
      </x:c>
      <x:c r="M321" s="15" t="n">
        <x:v>4.194789</x:v>
      </x:c>
      <x:c r="N321" s="15" t="n">
        <x:v>539908</x:v>
      </x:c>
      <x:c r="O321" s="15" t="n">
        <x:v>10301</x:v>
      </x:c>
      <x:c r="P321" s="15" t="n">
        <x:v>10202</x:v>
      </x:c>
      <x:c r="Q321" s="15" t="n">
        <x:v>2565</x:v>
      </x:c>
      <x:c r="R321" s="15" t="n">
        <x:v>28467</x:v>
      </x:c>
      <x:c r="S321" s="15" t="n">
        <x:v>2787</x:v>
      </x:c>
      <x:c r="T321" s="15" t="n">
        <x:v>54007</x:v>
      </x:c>
      <x:c r="U321" s="15" t="n">
        <x:v>4771</x:v>
      </x:c>
      <x:c r="V321" s="15" t="n">
        <x:v>64507</x:v>
      </x:c>
      <x:c r="W321" s="15" t="n">
        <x:v>4773</x:v>
      </x:c>
      <x:c r="X321" s="15" t="n">
        <x:v>58725</x:v>
      </x:c>
      <x:c r="Y321" s="15" t="n">
        <x:v>4830</x:v>
      </x:c>
      <x:c r="Z321" s="15" t="n">
        <x:v>54462</x:v>
      </x:c>
      <x:c r="AA321" s="15" t="n">
        <x:v>4863</x:v>
      </x:c>
      <x:c r="AB321" s="15" t="n">
        <x:v>40397</x:v>
      </x:c>
      <x:c r="AC321" s="15" t="n">
        <x:v>3842</x:v>
      </x:c>
      <x:c r="AD321" s="15" t="n">
        <x:v>52648</x:v>
      </x:c>
      <x:c r="AE321" s="15" t="n">
        <x:v>4393</x:v>
      </x:c>
      <x:c r="AF321" s="15" t="n">
        <x:v>153845</x:v>
      </x:c>
      <x:c r="AG321" s="15" t="n">
        <x:v>6936</x:v>
      </x:c>
      <x:c r="AH321" s="15" t="n">
        <x:v>22648</x:v>
      </x:c>
      <x:c r="AI321" s="15" t="n">
        <x:v>3148</x:v>
      </x:c>
    </x:row>
    <x:row r="322" ht="22" customHeight="1">
      <x:c r="A322" s="1" t="str">
        <x:v>310M700US41860</x:v>
      </x:c>
      <x:c r="B322" s="1" t="str">
        <x:v>41860</x:v>
      </x:c>
      <x:c r="C322" s="1" t="str">
        <x:v>San Francisco-Oakland-Fremont, CA Metro Area</x:v>
      </x:c>
      <x:c r="D322" s="5" t="n">
        <x:v>2024</x:v>
      </x:c>
      <x:c r="E322" s="1" t="str">
        <x:v>ok</x:v>
      </x:c>
      <x:c r="F322" s="15" t="n">
        <x:v>795678</x:v>
      </x:c>
      <x:c r="G322" s="15" t="n">
        <x:v>37929</x:v>
      </x:c>
      <x:c r="H322" s="15" t="n">
        <x:v>757749</x:v>
      </x:c>
      <x:c r="I322" s="15" t="n">
        <x:v>364390</x:v>
      </x:c>
      <x:c r="J322" s="15" t="n">
        <x:v>189931</x:v>
      </x:c>
      <x:c r="K322" s="15" t="n">
        <x:v>48.088483</x:v>
      </x:c>
      <x:c r="L322" s="15" t="n">
        <x:v>25.06516</x:v>
      </x:c>
      <x:c r="M322" s="15" t="n">
        <x:v>4.766878</x:v>
      </x:c>
      <x:c r="N322" s="15" t="n">
        <x:v>795678</x:v>
      </x:c>
      <x:c r="O322" s="15" t="n">
        <x:v>11341</x:v>
      </x:c>
      <x:c r="P322" s="15" t="n">
        <x:v>36577</x:v>
      </x:c>
      <x:c r="Q322" s="15" t="n">
        <x:v>3621</x:v>
      </x:c>
      <x:c r="R322" s="15" t="n">
        <x:v>68953</x:v>
      </x:c>
      <x:c r="S322" s="15" t="n">
        <x:v>4760</x:v>
      </x:c>
      <x:c r="T322" s="15" t="n">
        <x:v>107110</x:v>
      </x:c>
      <x:c r="U322" s="15" t="n">
        <x:v>5836</x:v>
      </x:c>
      <x:c r="V322" s="15" t="n">
        <x:v>97759</x:v>
      </x:c>
      <x:c r="W322" s="15" t="n">
        <x:v>5715</x:v>
      </x:c>
      <x:c r="X322" s="15" t="n">
        <x:v>82960</x:v>
      </x:c>
      <x:c r="Y322" s="15" t="n">
        <x:v>5818</x:v>
      </x:c>
      <x:c r="Z322" s="15" t="n">
        <x:v>60995</x:v>
      </x:c>
      <x:c r="AA322" s="15" t="n">
        <x:v>4514</x:v>
      </x:c>
      <x:c r="AB322" s="15" t="n">
        <x:v>48313</x:v>
      </x:c>
      <x:c r="AC322" s="15" t="n">
        <x:v>4545</x:v>
      </x:c>
      <x:c r="AD322" s="15" t="n">
        <x:v>65151</x:v>
      </x:c>
      <x:c r="AE322" s="15" t="n">
        <x:v>5324</x:v>
      </x:c>
      <x:c r="AF322" s="15" t="n">
        <x:v>189931</x:v>
      </x:c>
      <x:c r="AG322" s="15" t="n">
        <x:v>8736</x:v>
      </x:c>
      <x:c r="AH322" s="15" t="n">
        <x:v>37929</x:v>
      </x:c>
      <x:c r="AI322" s="15" t="n">
        <x:v>3969</x:v>
      </x:c>
    </x:row>
    <x:row r="323" ht="22" customHeight="1">
      <x:c r="A323" s="1" t="str">
        <x:v>310M700US41940</x:v>
      </x:c>
      <x:c r="B323" s="1" t="str">
        <x:v>41940</x:v>
      </x:c>
      <x:c r="C323" s="1" t="str">
        <x:v>San Jose-Sunnyvale-Santa Clara, CA Metro Area</x:v>
      </x:c>
      <x:c r="D323" s="5" t="n">
        <x:v>2024</x:v>
      </x:c>
      <x:c r="E323" s="1" t="str">
        <x:v>ok</x:v>
      </x:c>
      <x:c r="F323" s="15" t="n">
        <x:v>315397</x:v>
      </x:c>
      <x:c r="G323" s="15" t="n">
        <x:v>11133</x:v>
      </x:c>
      <x:c r="H323" s="15" t="n">
        <x:v>304264</x:v>
      </x:c>
      <x:c r="I323" s="15" t="n">
        <x:v>137271</x:v>
      </x:c>
      <x:c r="J323" s="15" t="n">
        <x:v>65292</x:v>
      </x:c>
      <x:c r="K323" s="15" t="n">
        <x:v>45.115755</x:v>
      </x:c>
      <x:c r="L323" s="15" t="n">
        <x:v>21.458996</x:v>
      </x:c>
      <x:c r="M323" s="15" t="n">
        <x:v>3.529837</x:v>
      </x:c>
      <x:c r="N323" s="15" t="n">
        <x:v>315397</x:v>
      </x:c>
      <x:c r="O323" s="15" t="n">
        <x:v>7091</x:v>
      </x:c>
      <x:c r="P323" s="15" t="n">
        <x:v>15892</x:v>
      </x:c>
      <x:c r="Q323" s="15" t="n">
        <x:v>2610</x:v>
      </x:c>
      <x:c r="R323" s="15" t="n">
        <x:v>37372</x:v>
      </x:c>
      <x:c r="S323" s="15" t="n">
        <x:v>3767</x:v>
      </x:c>
      <x:c r="T323" s="15" t="n">
        <x:v>46142</x:v>
      </x:c>
      <x:c r="U323" s="15" t="n">
        <x:v>4312</x:v>
      </x:c>
      <x:c r="V323" s="15" t="n">
        <x:v>37058</x:v>
      </x:c>
      <x:c r="W323" s="15" t="n">
        <x:v>3693</x:v>
      </x:c>
      <x:c r="X323" s="15" t="n">
        <x:v>30529</x:v>
      </x:c>
      <x:c r="Y323" s="15" t="n">
        <x:v>3579</x:v>
      </x:c>
      <x:c r="Z323" s="15" t="n">
        <x:v>24696</x:v>
      </x:c>
      <x:c r="AA323" s="15" t="n">
        <x:v>3250</x:v>
      </x:c>
      <x:c r="AB323" s="15" t="n">
        <x:v>20182</x:v>
      </x:c>
      <x:c r="AC323" s="15" t="n">
        <x:v>2991</x:v>
      </x:c>
      <x:c r="AD323" s="15" t="n">
        <x:v>27101</x:v>
      </x:c>
      <x:c r="AE323" s="15" t="n">
        <x:v>3472</x:v>
      </x:c>
      <x:c r="AF323" s="15" t="n">
        <x:v>65292</x:v>
      </x:c>
      <x:c r="AG323" s="15" t="n">
        <x:v>5135</x:v>
      </x:c>
      <x:c r="AH323" s="15" t="n">
        <x:v>11133</x:v>
      </x:c>
      <x:c r="AI323" s="15" t="n">
        <x:v>1799</x:v>
      </x:c>
    </x:row>
    <x:row r="324" ht="22" customHeight="1">
      <x:c r="A324" s="1" t="str">
        <x:v>310M700US42020</x:v>
      </x:c>
      <x:c r="B324" s="1" t="str">
        <x:v>42020</x:v>
      </x:c>
      <x:c r="C324" s="1" t="str">
        <x:v>San Luis Obispo-Paso Robles, CA Metro Area</x:v>
      </x:c>
      <x:c r="D324" s="5" t="n">
        <x:v>2024</x:v>
      </x:c>
      <x:c r="E324" s="1" t="str">
        <x:v>ok</x:v>
      </x:c>
      <x:c r="F324" s="15" t="n">
        <x:v>41280</x:v>
      </x:c>
      <x:c r="G324" s="15" t="n">
        <x:v>2904</x:v>
      </x:c>
      <x:c r="H324" s="15" t="n">
        <x:v>38376</x:v>
      </x:c>
      <x:c r="I324" s="15" t="n">
        <x:v>23404</x:v>
      </x:c>
      <x:c r="J324" s="15" t="n">
        <x:v>12201</x:v>
      </x:c>
      <x:c r="K324" s="15" t="n">
        <x:v>60.986033</x:v>
      </x:c>
      <x:c r="L324" s="15" t="n">
        <x:v>31.793308</x:v>
      </x:c>
      <x:c r="M324" s="15" t="n">
        <x:v>7.034884</x:v>
      </x:c>
      <x:c r="N324" s="15" t="n">
        <x:v>41280</x:v>
      </x:c>
      <x:c r="O324" s="15" t="n">
        <x:v>2701</x:v>
      </x:c>
      <x:c r="P324" s="15" t="n">
        <x:v>753</x:v>
      </x:c>
      <x:c r="Q324" s="15" t="n">
        <x:v>456</x:v>
      </x:c>
      <x:c r="R324" s="15" t="n">
        <x:v>2758</x:v>
      </x:c>
      <x:c r="S324" s="15" t="n">
        <x:v>960</x:v>
      </x:c>
      <x:c r="T324" s="15" t="n">
        <x:v>3540</x:v>
      </x:c>
      <x:c r="U324" s="15" t="n">
        <x:v>1172</x:v>
      </x:c>
      <x:c r="V324" s="15" t="n">
        <x:v>3808</x:v>
      </x:c>
      <x:c r="W324" s="15" t="n">
        <x:v>1221</x:v>
      </x:c>
      <x:c r="X324" s="15" t="n">
        <x:v>4113</x:v>
      </x:c>
      <x:c r="Y324" s="15" t="n">
        <x:v>1119</x:v>
      </x:c>
      <x:c r="Z324" s="15" t="n">
        <x:v>3838</x:v>
      </x:c>
      <x:c r="AA324" s="15" t="n">
        <x:v>1422</x:v>
      </x:c>
      <x:c r="AB324" s="15" t="n">
        <x:v>2727</x:v>
      </x:c>
      <x:c r="AC324" s="15" t="n">
        <x:v>956</x:v>
      </x:c>
      <x:c r="AD324" s="15" t="n">
        <x:v>4638</x:v>
      </x:c>
      <x:c r="AE324" s="15" t="n">
        <x:v>1496</x:v>
      </x:c>
      <x:c r="AF324" s="15" t="n">
        <x:v>12201</x:v>
      </x:c>
      <x:c r="AG324" s="15" t="n">
        <x:v>1927</x:v>
      </x:c>
      <x:c r="AH324" s="15" t="n">
        <x:v>2904</x:v>
      </x:c>
      <x:c r="AI324" s="15" t="n">
        <x:v>1034</x:v>
      </x:c>
    </x:row>
    <x:row r="325" ht="22" customHeight="1">
      <x:c r="A325" s="1" t="str">
        <x:v>310M700US41780</x:v>
      </x:c>
      <x:c r="B325" s="1" t="str">
        <x:v>41780</x:v>
      </x:c>
      <x:c r="C325" s="1" t="str">
        <x:v>Sandusky, OH Metro Area</x:v>
      </x:c>
      <x:c r="D325" s="5" t="n">
        <x:v>2024</x:v>
      </x:c>
      <x:c r="E325" s="1" t="str">
        <x:v>ok</x:v>
      </x:c>
      <x:c r="F325" s="15" t="n">
        <x:v>10835</x:v>
      </x:c>
      <x:c r="G325" s="15" t="n">
        <x:v>1098</x:v>
      </x:c>
      <x:c r="H325" s="15" t="n">
        <x:v>9737</x:v>
      </x:c>
      <x:c r="I325" s="15" t="n">
        <x:v>4852</x:v>
      </x:c>
      <x:c r="J325" s="15" t="n">
        <x:v>2584</x:v>
      </x:c>
      <x:c r="K325" s="15" t="n">
        <x:v>49.830543</x:v>
      </x:c>
      <x:c r="L325" s="15" t="n">
        <x:v>26.537948</x:v>
      </x:c>
      <x:c r="M325" s="15" t="n">
        <x:v>10.133826</x:v>
      </x:c>
      <x:c r="N325" s="15" t="n">
        <x:v>10835</x:v>
      </x:c>
      <x:c r="O325" s="15" t="n">
        <x:v>1429</x:v>
      </x:c>
      <x:c r="P325" s="15" t="n">
        <x:v>209</x:v>
      </x:c>
      <x:c r="Q325" s="15" t="n">
        <x:v>153</x:v>
      </x:c>
      <x:c r="R325" s="15" t="n">
        <x:v>1007</x:v>
      </x:c>
      <x:c r="S325" s="15" t="n">
        <x:v>632</x:v>
      </x:c>
      <x:c r="T325" s="15" t="n">
        <x:v>1917</x:v>
      </x:c>
      <x:c r="U325" s="15" t="n">
        <x:v>732</x:v>
      </x:c>
      <x:c r="V325" s="15" t="n">
        <x:v>1238</x:v>
      </x:c>
      <x:c r="W325" s="15" t="n">
        <x:v>463</x:v>
      </x:c>
      <x:c r="X325" s="15" t="n">
        <x:v>514</x:v>
      </x:c>
      <x:c r="Y325" s="15" t="n">
        <x:v>272</x:v>
      </x:c>
      <x:c r="Z325" s="15" t="n">
        <x:v>753</x:v>
      </x:c>
      <x:c r="AA325" s="15" t="n">
        <x:v>571</x:v>
      </x:c>
      <x:c r="AB325" s="15" t="n">
        <x:v>1207</x:v>
      </x:c>
      <x:c r="AC325" s="15" t="n">
        <x:v>678</x:v>
      </x:c>
      <x:c r="AD325" s="15" t="n">
        <x:v>308</x:v>
      </x:c>
      <x:c r="AE325" s="15" t="n">
        <x:v>261</x:v>
      </x:c>
      <x:c r="AF325" s="15" t="n">
        <x:v>2584</x:v>
      </x:c>
      <x:c r="AG325" s="15" t="n">
        <x:v>950</x:v>
      </x:c>
      <x:c r="AH325" s="15" t="n">
        <x:v>1098</x:v>
      </x:c>
      <x:c r="AI325" s="15" t="n">
        <x:v>517</x:v>
      </x:c>
    </x:row>
    <x:row r="326" ht="22" customHeight="1">
      <x:c r="A326" s="1" t="str">
        <x:v>310M700US42100</x:v>
      </x:c>
      <x:c r="B326" s="1" t="str">
        <x:v>42100</x:v>
      </x:c>
      <x:c r="C326" s="1" t="str">
        <x:v>Santa Cruz-Watsonville, CA Metro Area</x:v>
      </x:c>
      <x:c r="D326" s="5" t="n">
        <x:v>2024</x:v>
      </x:c>
      <x:c r="E326" s="1" t="str">
        <x:v>ok</x:v>
      </x:c>
      <x:c r="F326" s="15" t="n">
        <x:v>41053</x:v>
      </x:c>
      <x:c r="G326" s="15" t="n">
        <x:v>2217</x:v>
      </x:c>
      <x:c r="H326" s="15" t="n">
        <x:v>38836</x:v>
      </x:c>
      <x:c r="I326" s="15" t="n">
        <x:v>21527</x:v>
      </x:c>
      <x:c r="J326" s="15" t="n">
        <x:v>11146</x:v>
      </x:c>
      <x:c r="K326" s="15" t="n">
        <x:v>55.430528</x:v>
      </x:c>
      <x:c r="L326" s="15" t="n">
        <x:v>28.700175</x:v>
      </x:c>
      <x:c r="M326" s="15" t="n">
        <x:v>5.400336</x:v>
      </x:c>
      <x:c r="N326" s="15" t="n">
        <x:v>41053</x:v>
      </x:c>
      <x:c r="O326" s="15" t="n">
        <x:v>2061</x:v>
      </x:c>
      <x:c r="P326" s="15" t="n">
        <x:v>1784</x:v>
      </x:c>
      <x:c r="Q326" s="15" t="n">
        <x:v>905</x:v>
      </x:c>
      <x:c r="R326" s="15" t="n">
        <x:v>3536</x:v>
      </x:c>
      <x:c r="S326" s="15" t="n">
        <x:v>1036</x:v>
      </x:c>
      <x:c r="T326" s="15" t="n">
        <x:v>3428</x:v>
      </x:c>
      <x:c r="U326" s="15" t="n">
        <x:v>1172</x:v>
      </x:c>
      <x:c r="V326" s="15" t="n">
        <x:v>4438</x:v>
      </x:c>
      <x:c r="W326" s="15" t="n">
        <x:v>1027</x:v>
      </x:c>
      <x:c r="X326" s="15" t="n">
        <x:v>4123</x:v>
      </x:c>
      <x:c r="Y326" s="15" t="n">
        <x:v>1120</x:v>
      </x:c>
      <x:c r="Z326" s="15" t="n">
        <x:v>3478</x:v>
      </x:c>
      <x:c r="AA326" s="15" t="n">
        <x:v>1077</x:v>
      </x:c>
      <x:c r="AB326" s="15" t="n">
        <x:v>1803</x:v>
      </x:c>
      <x:c r="AC326" s="15" t="n">
        <x:v>783</x:v>
      </x:c>
      <x:c r="AD326" s="15" t="n">
        <x:v>5100</x:v>
      </x:c>
      <x:c r="AE326" s="15" t="n">
        <x:v>1296</x:v>
      </x:c>
      <x:c r="AF326" s="15" t="n">
        <x:v>11146</x:v>
      </x:c>
      <x:c r="AG326" s="15" t="n">
        <x:v>1844</x:v>
      </x:c>
      <x:c r="AH326" s="15" t="n">
        <x:v>2217</x:v>
      </x:c>
      <x:c r="AI326" s="15" t="n">
        <x:v>929</x:v>
      </x:c>
    </x:row>
    <x:row r="327" ht="22" customHeight="1">
      <x:c r="A327" s="1" t="str">
        <x:v>310M700US42140</x:v>
      </x:c>
      <x:c r="B327" s="1" t="str">
        <x:v>42140</x:v>
      </x:c>
      <x:c r="C327" s="1" t="str">
        <x:v>Santa Fe, NM Metro Area</x:v>
      </x:c>
      <x:c r="D327" s="5" t="n">
        <x:v>2024</x:v>
      </x:c>
      <x:c r="E327" s="1" t="str">
        <x:v>ok</x:v>
      </x:c>
      <x:c r="F327" s="15" t="n">
        <x:v>19658</x:v>
      </x:c>
      <x:c r="G327" s="15" t="n">
        <x:v>1610</x:v>
      </x:c>
      <x:c r="H327" s="15" t="n">
        <x:v>18048</x:v>
      </x:c>
      <x:c r="I327" s="15" t="n">
        <x:v>10088</x:v>
      </x:c>
      <x:c r="J327" s="15" t="n">
        <x:v>5298</x:v>
      </x:c>
      <x:c r="K327" s="15" t="n">
        <x:v>55.89539</x:v>
      </x:c>
      <x:c r="L327" s="15" t="n">
        <x:v>29.355053</x:v>
      </x:c>
      <x:c r="M327" s="15" t="n">
        <x:v>8.19005</x:v>
      </x:c>
      <x:c r="N327" s="15" t="n">
        <x:v>19658</x:v>
      </x:c>
      <x:c r="O327" s="15" t="n">
        <x:v>1906</x:v>
      </x:c>
      <x:c r="P327" s="15" t="n">
        <x:v>1029</x:v>
      </x:c>
      <x:c r="Q327" s="15" t="n">
        <x:v>550</x:v>
      </x:c>
      <x:c r="R327" s="15" t="n">
        <x:v>640</x:v>
      </x:c>
      <x:c r="S327" s="15" t="n">
        <x:v>346</x:v>
      </x:c>
      <x:c r="T327" s="15" t="n">
        <x:v>2072</x:v>
      </x:c>
      <x:c r="U327" s="15" t="n">
        <x:v>830</x:v>
      </x:c>
      <x:c r="V327" s="15" t="n">
        <x:v>2104</x:v>
      </x:c>
      <x:c r="W327" s="15" t="n">
        <x:v>734</x:v>
      </x:c>
      <x:c r="X327" s="15" t="n">
        <x:v>2115</x:v>
      </x:c>
      <x:c r="Y327" s="15" t="n">
        <x:v>833</x:v>
      </x:c>
      <x:c r="Z327" s="15" t="n">
        <x:v>1461</x:v>
      </x:c>
      <x:c r="AA327" s="15" t="n">
        <x:v>685</x:v>
      </x:c>
      <x:c r="AB327" s="15" t="n">
        <x:v>735</x:v>
      </x:c>
      <x:c r="AC327" s="15" t="n">
        <x:v>448</x:v>
      </x:c>
      <x:c r="AD327" s="15" t="n">
        <x:v>2594</x:v>
      </x:c>
      <x:c r="AE327" s="15" t="n">
        <x:v>1022</x:v>
      </x:c>
      <x:c r="AF327" s="15" t="n">
        <x:v>5298</x:v>
      </x:c>
      <x:c r="AG327" s="15" t="n">
        <x:v>1198</x:v>
      </x:c>
      <x:c r="AH327" s="15" t="n">
        <x:v>1610</x:v>
      </x:c>
      <x:c r="AI327" s="15" t="n">
        <x:v>597</x:v>
      </x:c>
    </x:row>
    <x:row r="328" ht="22" customHeight="1">
      <x:c r="A328" s="1" t="str">
        <x:v>310M700US42200</x:v>
      </x:c>
      <x:c r="B328" s="1" t="str">
        <x:v>42200</x:v>
      </x:c>
      <x:c r="C328" s="1" t="str">
        <x:v>Santa Maria-Santa Barbara, CA Metro Area</x:v>
      </x:c>
      <x:c r="D328" s="5" t="n">
        <x:v>2024</x:v>
      </x:c>
      <x:c r="E328" s="1" t="str">
        <x:v>ok</x:v>
      </x:c>
      <x:c r="F328" s="15" t="n">
        <x:v>71846</x:v>
      </x:c>
      <x:c r="G328" s="15" t="n">
        <x:v>3189</x:v>
      </x:c>
      <x:c r="H328" s="15" t="n">
        <x:v>68657</x:v>
      </x:c>
      <x:c r="I328" s="15" t="n">
        <x:v>40295</x:v>
      </x:c>
      <x:c r="J328" s="15" t="n">
        <x:v>22389</x:v>
      </x:c>
      <x:c r="K328" s="15" t="n">
        <x:v>58.690301</x:v>
      </x:c>
      <x:c r="L328" s="15" t="n">
        <x:v>32.609931</x:v>
      </x:c>
      <x:c r="M328" s="15" t="n">
        <x:v>4.43866</x:v>
      </x:c>
      <x:c r="N328" s="15" t="n">
        <x:v>71846</x:v>
      </x:c>
      <x:c r="O328" s="15" t="n">
        <x:v>3537</x:v>
      </x:c>
      <x:c r="P328" s="15" t="n">
        <x:v>1909</x:v>
      </x:c>
      <x:c r="Q328" s="15" t="n">
        <x:v>832</x:v>
      </x:c>
      <x:c r="R328" s="15" t="n">
        <x:v>4117</x:v>
      </x:c>
      <x:c r="S328" s="15" t="n">
        <x:v>1159</x:v>
      </x:c>
      <x:c r="T328" s="15" t="n">
        <x:v>7703</x:v>
      </x:c>
      <x:c r="U328" s="15" t="n">
        <x:v>1541</x:v>
      </x:c>
      <x:c r="V328" s="15" t="n">
        <x:v>8140</x:v>
      </x:c>
      <x:c r="W328" s="15" t="n">
        <x:v>1398</x:v>
      </x:c>
      <x:c r="X328" s="15" t="n">
        <x:v>6493</x:v>
      </x:c>
      <x:c r="Y328" s="15" t="n">
        <x:v>1415</x:v>
      </x:c>
      <x:c r="Z328" s="15" t="n">
        <x:v>5674</x:v>
      </x:c>
      <x:c r="AA328" s="15" t="n">
        <x:v>1529</x:v>
      </x:c>
      <x:c r="AB328" s="15" t="n">
        <x:v>5115</x:v>
      </x:c>
      <x:c r="AC328" s="15" t="n">
        <x:v>1173</x:v>
      </x:c>
      <x:c r="AD328" s="15" t="n">
        <x:v>7117</x:v>
      </x:c>
      <x:c r="AE328" s="15" t="n">
        <x:v>1657</x:v>
      </x:c>
      <x:c r="AF328" s="15" t="n">
        <x:v>22389</x:v>
      </x:c>
      <x:c r="AG328" s="15" t="n">
        <x:v>2970</x:v>
      </x:c>
      <x:c r="AH328" s="15" t="n">
        <x:v>3189</x:v>
      </x:c>
      <x:c r="AI328" s="15" t="n">
        <x:v>1020</x:v>
      </x:c>
    </x:row>
    <x:row r="329" ht="22" customHeight="1">
      <x:c r="A329" s="1" t="str">
        <x:v>310M700US42220</x:v>
      </x:c>
      <x:c r="B329" s="1" t="str">
        <x:v>42220</x:v>
      </x:c>
      <x:c r="C329" s="1" t="str">
        <x:v>Santa Rosa-Petaluma, CA Metro Area</x:v>
      </x:c>
      <x:c r="D329" s="5" t="n">
        <x:v>2024</x:v>
      </x:c>
      <x:c r="E329" s="1" t="str">
        <x:v>ok</x:v>
      </x:c>
      <x:c r="F329" s="15" t="n">
        <x:v>67884</x:v>
      </x:c>
      <x:c r="G329" s="15" t="n">
        <x:v>4630</x:v>
      </x:c>
      <x:c r="H329" s="15" t="n">
        <x:v>63254</x:v>
      </x:c>
      <x:c r="I329" s="15" t="n">
        <x:v>34842</x:v>
      </x:c>
      <x:c r="J329" s="15" t="n">
        <x:v>17410</x:v>
      </x:c>
      <x:c r="K329" s="15" t="n">
        <x:v>55.082683</x:v>
      </x:c>
      <x:c r="L329" s="15" t="n">
        <x:v>27.523951</x:v>
      </x:c>
      <x:c r="M329" s="15" t="n">
        <x:v>6.820458</x:v>
      </x:c>
      <x:c r="N329" s="15" t="n">
        <x:v>67884</x:v>
      </x:c>
      <x:c r="O329" s="15" t="n">
        <x:v>3593</x:v>
      </x:c>
      <x:c r="P329" s="15" t="n">
        <x:v>2332</x:v>
      </x:c>
      <x:c r="Q329" s="15" t="n">
        <x:v>1084</x:v>
      </x:c>
      <x:c r="R329" s="15" t="n">
        <x:v>3352</x:v>
      </x:c>
      <x:c r="S329" s="15" t="n">
        <x:v>1032</x:v>
      </x:c>
      <x:c r="T329" s="15" t="n">
        <x:v>6107</x:v>
      </x:c>
      <x:c r="U329" s="15" t="n">
        <x:v>1669</x:v>
      </x:c>
      <x:c r="V329" s="15" t="n">
        <x:v>8973</x:v>
      </x:c>
      <x:c r="W329" s="15" t="n">
        <x:v>1781</x:v>
      </x:c>
      <x:c r="X329" s="15" t="n">
        <x:v>7648</x:v>
      </x:c>
      <x:c r="Y329" s="15" t="n">
        <x:v>1605</x:v>
      </x:c>
      <x:c r="Z329" s="15" t="n">
        <x:v>6697</x:v>
      </x:c>
      <x:c r="AA329" s="15" t="n">
        <x:v>1610</x:v>
      </x:c>
      <x:c r="AB329" s="15" t="n">
        <x:v>5069</x:v>
      </x:c>
      <x:c r="AC329" s="15" t="n">
        <x:v>1287</x:v>
      </x:c>
      <x:c r="AD329" s="15" t="n">
        <x:v>5666</x:v>
      </x:c>
      <x:c r="AE329" s="15" t="n">
        <x:v>1407</x:v>
      </x:c>
      <x:c r="AF329" s="15" t="n">
        <x:v>17410</x:v>
      </x:c>
      <x:c r="AG329" s="15" t="n">
        <x:v>2268</x:v>
      </x:c>
      <x:c r="AH329" s="15" t="n">
        <x:v>4630</x:v>
      </x:c>
      <x:c r="AI329" s="15" t="n">
        <x:v>1221</x:v>
      </x:c>
    </x:row>
    <x:row r="330" ht="22" customHeight="1">
      <x:c r="A330" s="1" t="str">
        <x:v>310M700US42340</x:v>
      </x:c>
      <x:c r="B330" s="1" t="str">
        <x:v>42340</x:v>
      </x:c>
      <x:c r="C330" s="1" t="str">
        <x:v>Savannah, GA Metro Area</x:v>
      </x:c>
      <x:c r="D330" s="5" t="n">
        <x:v>2024</x:v>
      </x:c>
      <x:c r="E330" s="1" t="str">
        <x:v>ok</x:v>
      </x:c>
      <x:c r="F330" s="15" t="n">
        <x:v>57336</x:v>
      </x:c>
      <x:c r="G330" s="15" t="n">
        <x:v>4315</x:v>
      </x:c>
      <x:c r="H330" s="15" t="n">
        <x:v>53021</x:v>
      </x:c>
      <x:c r="I330" s="15" t="n">
        <x:v>29812</x:v>
      </x:c>
      <x:c r="J330" s="15" t="n">
        <x:v>15295</x:v>
      </x:c>
      <x:c r="K330" s="15" t="n">
        <x:v>56.226778</x:v>
      </x:c>
      <x:c r="L330" s="15" t="n">
        <x:v>28.847061</x:v>
      </x:c>
      <x:c r="M330" s="15" t="n">
        <x:v>7.525813</x:v>
      </x:c>
      <x:c r="N330" s="15" t="n">
        <x:v>57336</x:v>
      </x:c>
      <x:c r="O330" s="15" t="n">
        <x:v>3679</x:v>
      </x:c>
      <x:c r="P330" s="15" t="n">
        <x:v>1789</x:v>
      </x:c>
      <x:c r="Q330" s="15" t="n">
        <x:v>694</x:v>
      </x:c>
      <x:c r="R330" s="15" t="n">
        <x:v>3114</x:v>
      </x:c>
      <x:c r="S330" s="15" t="n">
        <x:v>1152</x:v>
      </x:c>
      <x:c r="T330" s="15" t="n">
        <x:v>6297</x:v>
      </x:c>
      <x:c r="U330" s="15" t="n">
        <x:v>1758</x:v>
      </x:c>
      <x:c r="V330" s="15" t="n">
        <x:v>6296</x:v>
      </x:c>
      <x:c r="W330" s="15" t="n">
        <x:v>1556</x:v>
      </x:c>
      <x:c r="X330" s="15" t="n">
        <x:v>5713</x:v>
      </x:c>
      <x:c r="Y330" s="15" t="n">
        <x:v>1514</x:v>
      </x:c>
      <x:c r="Z330" s="15" t="n">
        <x:v>4794</x:v>
      </x:c>
      <x:c r="AA330" s="15" t="n">
        <x:v>1539</x:v>
      </x:c>
      <x:c r="AB330" s="15" t="n">
        <x:v>5082</x:v>
      </x:c>
      <x:c r="AC330" s="15" t="n">
        <x:v>1508</x:v>
      </x:c>
      <x:c r="AD330" s="15" t="n">
        <x:v>4641</x:v>
      </x:c>
      <x:c r="AE330" s="15" t="n">
        <x:v>1449</x:v>
      </x:c>
      <x:c r="AF330" s="15" t="n">
        <x:v>15295</x:v>
      </x:c>
      <x:c r="AG330" s="15" t="n">
        <x:v>2328</x:v>
      </x:c>
      <x:c r="AH330" s="15" t="n">
        <x:v>4315</x:v>
      </x:c>
      <x:c r="AI330" s="15" t="n">
        <x:v>1218</x:v>
      </x:c>
    </x:row>
    <x:row r="331" ht="22" customHeight="1">
      <x:c r="A331" s="1" t="str">
        <x:v>310M700US42540</x:v>
      </x:c>
      <x:c r="B331" s="1" t="str">
        <x:v>42540</x:v>
      </x:c>
      <x:c r="C331" s="1" t="str">
        <x:v>Scranton--Wilkes-Barre, PA Metro Area</x:v>
      </x:c>
      <x:c r="D331" s="5" t="n">
        <x:v>2024</x:v>
      </x:c>
      <x:c r="E331" s="1" t="str">
        <x:v>ok</x:v>
      </x:c>
      <x:c r="F331" s="15" t="n">
        <x:v>77952</x:v>
      </x:c>
      <x:c r="G331" s="15" t="n">
        <x:v>7351</x:v>
      </x:c>
      <x:c r="H331" s="15" t="n">
        <x:v>70601</x:v>
      </x:c>
      <x:c r="I331" s="15" t="n">
        <x:v>33649</x:v>
      </x:c>
      <x:c r="J331" s="15" t="n">
        <x:v>16825</x:v>
      </x:c>
      <x:c r="K331" s="15" t="n">
        <x:v>47.660798</x:v>
      </x:c>
      <x:c r="L331" s="15" t="n">
        <x:v>23.831107</x:v>
      </x:c>
      <x:c r="M331" s="15" t="n">
        <x:v>9.430162</x:v>
      </x:c>
      <x:c r="N331" s="15" t="n">
        <x:v>77952</x:v>
      </x:c>
      <x:c r="O331" s="15" t="n">
        <x:v>3836</x:v>
      </x:c>
      <x:c r="P331" s="15" t="n">
        <x:v>3877</x:v>
      </x:c>
      <x:c r="Q331" s="15" t="n">
        <x:v>1082</x:v>
      </x:c>
      <x:c r="R331" s="15" t="n">
        <x:v>6830</x:v>
      </x:c>
      <x:c r="S331" s="15" t="n">
        <x:v>1723</x:v>
      </x:c>
      <x:c r="T331" s="15" t="n">
        <x:v>8715</x:v>
      </x:c>
      <x:c r="U331" s="15" t="n">
        <x:v>1455</x:v>
      </x:c>
      <x:c r="V331" s="15" t="n">
        <x:v>9602</x:v>
      </x:c>
      <x:c r="W331" s="15" t="n">
        <x:v>1970</x:v>
      </x:c>
      <x:c r="X331" s="15" t="n">
        <x:v>7928</x:v>
      </x:c>
      <x:c r="Y331" s="15" t="n">
        <x:v>1817</x:v>
      </x:c>
      <x:c r="Z331" s="15" t="n">
        <x:v>7052</x:v>
      </x:c>
      <x:c r="AA331" s="15" t="n">
        <x:v>1548</x:v>
      </x:c>
      <x:c r="AB331" s="15" t="n">
        <x:v>4103</x:v>
      </x:c>
      <x:c r="AC331" s="15" t="n">
        <x:v>1373</x:v>
      </x:c>
      <x:c r="AD331" s="15" t="n">
        <x:v>5669</x:v>
      </x:c>
      <x:c r="AE331" s="15" t="n">
        <x:v>1448</x:v>
      </x:c>
      <x:c r="AF331" s="15" t="n">
        <x:v>16825</x:v>
      </x:c>
      <x:c r="AG331" s="15" t="n">
        <x:v>2490</x:v>
      </x:c>
      <x:c r="AH331" s="15" t="n">
        <x:v>7351</x:v>
      </x:c>
      <x:c r="AI331" s="15" t="n">
        <x:v>1345</x:v>
      </x:c>
    </x:row>
    <x:row r="332" ht="22" customHeight="1">
      <x:c r="A332" s="1" t="str">
        <x:v>310M700US42660</x:v>
      </x:c>
      <x:c r="B332" s="1" t="str">
        <x:v>42660</x:v>
      </x:c>
      <x:c r="C332" s="1" t="str">
        <x:v>Seattle-Tacoma-Bellevue, WA Metro Area</x:v>
      </x:c>
      <x:c r="D332" s="5" t="n">
        <x:v>2024</x:v>
      </x:c>
      <x:c r="E332" s="1" t="str">
        <x:v>ok</x:v>
      </x:c>
      <x:c r="F332" s="15" t="n">
        <x:v>690498</x:v>
      </x:c>
      <x:c r="G332" s="15" t="n">
        <x:v>23458</x:v>
      </x:c>
      <x:c r="H332" s="15" t="n">
        <x:v>667040</x:v>
      </x:c>
      <x:c r="I332" s="15" t="n">
        <x:v>335582</x:v>
      </x:c>
      <x:c r="J332" s="15" t="n">
        <x:v>155793</x:v>
      </x:c>
      <x:c r="K332" s="15" t="n">
        <x:v>50.309127</x:v>
      </x:c>
      <x:c r="L332" s="15" t="n">
        <x:v>23.355871</x:v>
      </x:c>
      <x:c r="M332" s="15" t="n">
        <x:v>3.397258</x:v>
      </x:c>
      <x:c r="N332" s="15" t="n">
        <x:v>690498</x:v>
      </x:c>
      <x:c r="O332" s="15" t="n">
        <x:v>12065</x:v>
      </x:c>
      <x:c r="P332" s="15" t="n">
        <x:v>26030</x:v>
      </x:c>
      <x:c r="Q332" s="15" t="n">
        <x:v>3057</x:v>
      </x:c>
      <x:c r="R332" s="15" t="n">
        <x:v>56302</x:v>
      </x:c>
      <x:c r="S332" s="15" t="n">
        <x:v>5148</x:v>
      </x:c>
      <x:c r="T332" s="15" t="n">
        <x:v>82246</x:v>
      </x:c>
      <x:c r="U332" s="15" t="n">
        <x:v>5910</x:v>
      </x:c>
      <x:c r="V332" s="15" t="n">
        <x:v>82161</x:v>
      </x:c>
      <x:c r="W332" s="15" t="n">
        <x:v>5798</x:v>
      </x:c>
      <x:c r="X332" s="15" t="n">
        <x:v>84719</x:v>
      </x:c>
      <x:c r="Y332" s="15" t="n">
        <x:v>5639</x:v>
      </x:c>
      <x:c r="Z332" s="15" t="n">
        <x:v>70300</x:v>
      </x:c>
      <x:c r="AA332" s="15" t="n">
        <x:v>5460</x:v>
      </x:c>
      <x:c r="AB332" s="15" t="n">
        <x:v>45464</x:v>
      </x:c>
      <x:c r="AC332" s="15" t="n">
        <x:v>4465</x:v>
      </x:c>
      <x:c r="AD332" s="15" t="n">
        <x:v>64025</x:v>
      </x:c>
      <x:c r="AE332" s="15" t="n">
        <x:v>4732</x:v>
      </x:c>
      <x:c r="AF332" s="15" t="n">
        <x:v>155793</x:v>
      </x:c>
      <x:c r="AG332" s="15" t="n">
        <x:v>8042</x:v>
      </x:c>
      <x:c r="AH332" s="15" t="n">
        <x:v>23458</x:v>
      </x:c>
      <x:c r="AI332" s="15" t="n">
        <x:v>3498</x:v>
      </x:c>
    </x:row>
    <x:row r="333" ht="22" customHeight="1">
      <x:c r="A333" s="1" t="str">
        <x:v>310M700US42680</x:v>
      </x:c>
      <x:c r="B333" s="1" t="str">
        <x:v>42680</x:v>
      </x:c>
      <x:c r="C333" s="1" t="str">
        <x:v>Sebastian-Vero Beach-West Vero Corridor, FL Metro Area</x:v>
      </x:c>
      <x:c r="D333" s="5" t="n">
        <x:v>2024</x:v>
      </x:c>
      <x:c r="E333" s="1" t="str">
        <x:v>ok</x:v>
      </x:c>
      <x:c r="F333" s="15" t="n">
        <x:v>13475</x:v>
      </x:c>
      <x:c r="G333" s="15" t="n">
        <x:v>1208</x:v>
      </x:c>
      <x:c r="H333" s="15" t="n">
        <x:v>12267</x:v>
      </x:c>
      <x:c r="I333" s="15" t="n">
        <x:v>7082</x:v>
      </x:c>
      <x:c r="J333" s="15" t="n">
        <x:v>3056</x:v>
      </x:c>
      <x:c r="K333" s="15" t="n">
        <x:v>57.732127</x:v>
      </x:c>
      <x:c r="L333" s="15" t="n">
        <x:v>24.912367</x:v>
      </x:c>
      <x:c r="M333" s="15" t="n">
        <x:v>8.96475</x:v>
      </x:c>
      <x:c r="N333" s="15" t="n">
        <x:v>13475</x:v>
      </x:c>
      <x:c r="O333" s="15" t="n">
        <x:v>2046</x:v>
      </x:c>
      <x:c r="P333" s="15" t="n">
        <x:v>379</x:v>
      </x:c>
      <x:c r="Q333" s="15" t="n">
        <x:v>573</x:v>
      </x:c>
      <x:c r="R333" s="15" t="n">
        <x:v>833</x:v>
      </x:c>
      <x:c r="S333" s="15" t="n">
        <x:v>634</x:v>
      </x:c>
      <x:c r="T333" s="15" t="n">
        <x:v>629</x:v>
      </x:c>
      <x:c r="U333" s="15" t="n">
        <x:v>401</x:v>
      </x:c>
      <x:c r="V333" s="15" t="n">
        <x:v>1471</x:v>
      </x:c>
      <x:c r="W333" s="15" t="n">
        <x:v>874</x:v>
      </x:c>
      <x:c r="X333" s="15" t="n">
        <x:v>1873</x:v>
      </x:c>
      <x:c r="Y333" s="15" t="n">
        <x:v>881</x:v>
      </x:c>
      <x:c r="Z333" s="15" t="n">
        <x:v>1887</x:v>
      </x:c>
      <x:c r="AA333" s="15" t="n">
        <x:v>1043</x:v>
      </x:c>
      <x:c r="AB333" s="15" t="n">
        <x:v>666</x:v>
      </x:c>
      <x:c r="AC333" s="15" t="n">
        <x:v>379</x:v>
      </x:c>
      <x:c r="AD333" s="15" t="n">
        <x:v>1473</x:v>
      </x:c>
      <x:c r="AE333" s="15" t="n">
        <x:v>550</x:v>
      </x:c>
      <x:c r="AF333" s="15" t="n">
        <x:v>3056</x:v>
      </x:c>
      <x:c r="AG333" s="15" t="n">
        <x:v>1036</x:v>
      </x:c>
      <x:c r="AH333" s="15" t="n">
        <x:v>1208</x:v>
      </x:c>
      <x:c r="AI333" s="15" t="n">
        <x:v>656</x:v>
      </x:c>
    </x:row>
    <x:row r="334" ht="22" customHeight="1">
      <x:c r="A334" s="1" t="str">
        <x:v>310M700US42700</x:v>
      </x:c>
      <x:c r="B334" s="1" t="str">
        <x:v>42700</x:v>
      </x:c>
      <x:c r="C334" s="1" t="str">
        <x:v>Sebring, FL Metro Area</x:v>
      </x:c>
      <x:c r="D334" s="5" t="n">
        <x:v>2024</x:v>
      </x:c>
      <x:c r="E334" s="1" t="str">
        <x:v>ok</x:v>
      </x:c>
      <x:c r="F334" s="15" t="n">
        <x:v>10909</x:v>
      </x:c>
      <x:c r="G334" s="15" t="n">
        <x:v>1152</x:v>
      </x:c>
      <x:c r="H334" s="15" t="n">
        <x:v>9757</x:v>
      </x:c>
      <x:c r="I334" s="15" t="n">
        <x:v>6677</x:v>
      </x:c>
      <x:c r="J334" s="15" t="n">
        <x:v>2551</x:v>
      </x:c>
      <x:c r="K334" s="15" t="n">
        <x:v>68.43292</x:v>
      </x:c>
      <x:c r="L334" s="15" t="n">
        <x:v>26.145332</x:v>
      </x:c>
      <x:c r="M334" s="15" t="n">
        <x:v>10.560088</x:v>
      </x:c>
      <x:c r="N334" s="15" t="n">
        <x:v>10909</x:v>
      </x:c>
      <x:c r="O334" s="15" t="n">
        <x:v>1978</x:v>
      </x:c>
      <x:c r="P334" s="15" t="n">
        <x:v>215</x:v>
      </x:c>
      <x:c r="Q334" s="15" t="n">
        <x:v>198</x:v>
      </x:c>
      <x:c r="R334" s="15" t="n">
        <x:v>393</x:v>
      </x:c>
      <x:c r="S334" s="15" t="n">
        <x:v>414</x:v>
      </x:c>
      <x:c r="T334" s="15" t="n">
        <x:v>642</x:v>
      </x:c>
      <x:c r="U334" s="15" t="n">
        <x:v>465</x:v>
      </x:c>
      <x:c r="V334" s="15" t="n">
        <x:v>836</x:v>
      </x:c>
      <x:c r="W334" s="15" t="n">
        <x:v>522</x:v>
      </x:c>
      <x:c r="X334" s="15" t="n">
        <x:v>994</x:v>
      </x:c>
      <x:c r="Y334" s="15" t="n">
        <x:v>577</x:v>
      </x:c>
      <x:c r="Z334" s="15" t="n">
        <x:v>1606</x:v>
      </x:c>
      <x:c r="AA334" s="15" t="n">
        <x:v>827</x:v>
      </x:c>
      <x:c r="AB334" s="15" t="n">
        <x:v>567</x:v>
      </x:c>
      <x:c r="AC334" s="15" t="n">
        <x:v>420</x:v>
      </x:c>
      <x:c r="AD334" s="15" t="n">
        <x:v>1953</x:v>
      </x:c>
      <x:c r="AE334" s="15" t="n">
        <x:v>1258</x:v>
      </x:c>
      <x:c r="AF334" s="15" t="n">
        <x:v>2551</x:v>
      </x:c>
      <x:c r="AG334" s="15" t="n">
        <x:v>888</x:v>
      </x:c>
      <x:c r="AH334" s="15" t="n">
        <x:v>1152</x:v>
      </x:c>
      <x:c r="AI334" s="15" t="n">
        <x:v>612</x:v>
      </x:c>
    </x:row>
    <x:row r="335" ht="22" customHeight="1">
      <x:c r="A335" s="1" t="str">
        <x:v>310M700US43100</x:v>
      </x:c>
      <x:c r="B335" s="1" t="str">
        <x:v>43100</x:v>
      </x:c>
      <x:c r="C335" s="1" t="str">
        <x:v>Sheboygan, WI Metro Area</x:v>
      </x:c>
      <x:c r="D335" s="5" t="n">
        <x:v>2024</x:v>
      </x:c>
      <x:c r="E335" s="1" t="str">
        <x:v>ok</x:v>
      </x:c>
      <x:c r="F335" s="15" t="n">
        <x:v>14038</x:v>
      </x:c>
      <x:c r="G335" s="15" t="n">
        <x:v>901</x:v>
      </x:c>
      <x:c r="H335" s="15" t="n">
        <x:v>13137</x:v>
      </x:c>
      <x:c r="I335" s="15" t="n">
        <x:v>4914</x:v>
      </x:c>
      <x:c r="J335" s="15" t="n">
        <x:v>2278</x:v>
      </x:c>
      <x:c r="K335" s="15" t="n">
        <x:v>37.4058</x:v>
      </x:c>
      <x:c r="L335" s="15" t="n">
        <x:v>17.340336</x:v>
      </x:c>
      <x:c r="M335" s="15" t="n">
        <x:v>6.418293</x:v>
      </x:c>
      <x:c r="N335" s="15" t="n">
        <x:v>14038</x:v>
      </x:c>
      <x:c r="O335" s="15" t="n">
        <x:v>1628</x:v>
      </x:c>
      <x:c r="P335" s="15" t="n">
        <x:v>621</x:v>
      </x:c>
      <x:c r="Q335" s="15" t="n">
        <x:v>360</x:v>
      </x:c>
      <x:c r="R335" s="15" t="n">
        <x:v>2092</x:v>
      </x:c>
      <x:c r="S335" s="15" t="n">
        <x:v>796</x:v>
      </x:c>
      <x:c r="T335" s="15" t="n">
        <x:v>1778</x:v>
      </x:c>
      <x:c r="U335" s="15" t="n">
        <x:v>639</x:v>
      </x:c>
      <x:c r="V335" s="15" t="n">
        <x:v>2204</x:v>
      </x:c>
      <x:c r="W335" s="15" t="n">
        <x:v>800</x:v>
      </x:c>
      <x:c r="X335" s="15" t="n">
        <x:v>1528</x:v>
      </x:c>
      <x:c r="Y335" s="15" t="n">
        <x:v>664</x:v>
      </x:c>
      <x:c r="Z335" s="15" t="n">
        <x:v>1010</x:v>
      </x:c>
      <x:c r="AA335" s="15" t="n">
        <x:v>509</x:v>
      </x:c>
      <x:c r="AB335" s="15" t="n">
        <x:v>898</x:v>
      </x:c>
      <x:c r="AC335" s="15" t="n">
        <x:v>487</x:v>
      </x:c>
      <x:c r="AD335" s="15" t="n">
        <x:v>728</x:v>
      </x:c>
      <x:c r="AE335" s="15" t="n">
        <x:v>394</x:v>
      </x:c>
      <x:c r="AF335" s="15" t="n">
        <x:v>2278</x:v>
      </x:c>
      <x:c r="AG335" s="15" t="n">
        <x:v>819</x:v>
      </x:c>
      <x:c r="AH335" s="15" t="n">
        <x:v>901</x:v>
      </x:c>
      <x:c r="AI335" s="15" t="n">
        <x:v>456</x:v>
      </x:c>
    </x:row>
    <x:row r="336" ht="22" customHeight="1">
      <x:c r="A336" s="1" t="str">
        <x:v>310M700US43300</x:v>
      </x:c>
      <x:c r="B336" s="1" t="str">
        <x:v>43300</x:v>
      </x:c>
      <x:c r="C336" s="1" t="str">
        <x:v>Sherman-Denison, TX Metro Area</x:v>
      </x:c>
      <x:c r="D336" s="5" t="n">
        <x:v>2024</x:v>
      </x:c>
      <x:c r="E336" s="1" t="str">
        <x:v>ok</x:v>
      </x:c>
      <x:c r="F336" s="15" t="n">
        <x:v>19996</x:v>
      </x:c>
      <x:c r="G336" s="15" t="n">
        <x:v>1276</x:v>
      </x:c>
      <x:c r="H336" s="15" t="n">
        <x:v>18720</x:v>
      </x:c>
      <x:c r="I336" s="15" t="n">
        <x:v>10571</x:v>
      </x:c>
      <x:c r="J336" s="15" t="n">
        <x:v>4309</x:v>
      </x:c>
      <x:c r="K336" s="15" t="n">
        <x:v>56.469017</x:v>
      </x:c>
      <x:c r="L336" s="15" t="n">
        <x:v>23.018162</x:v>
      </x:c>
      <x:c r="M336" s="15" t="n">
        <x:v>6.381276</x:v>
      </x:c>
      <x:c r="N336" s="15" t="n">
        <x:v>19996</x:v>
      </x:c>
      <x:c r="O336" s="15" t="n">
        <x:v>2416</x:v>
      </x:c>
      <x:c r="P336" s="15" t="n">
        <x:v>293</x:v>
      </x:c>
      <x:c r="Q336" s="15" t="n">
        <x:v>267</x:v>
      </x:c>
      <x:c r="R336" s="15" t="n">
        <x:v>726</x:v>
      </x:c>
      <x:c r="S336" s="15" t="n">
        <x:v>437</x:v>
      </x:c>
      <x:c r="T336" s="15" t="n">
        <x:v>2367</x:v>
      </x:c>
      <x:c r="U336" s="15" t="n">
        <x:v>941</x:v>
      </x:c>
      <x:c r="V336" s="15" t="n">
        <x:v>1647</x:v>
      </x:c>
      <x:c r="W336" s="15" t="n">
        <x:v>761</x:v>
      </x:c>
      <x:c r="X336" s="15" t="n">
        <x:v>3116</x:v>
      </x:c>
      <x:c r="Y336" s="15" t="n">
        <x:v>1226</x:v>
      </x:c>
      <x:c r="Z336" s="15" t="n">
        <x:v>2305</x:v>
      </x:c>
      <x:c r="AA336" s="15" t="n">
        <x:v>1030</x:v>
      </x:c>
      <x:c r="AB336" s="15" t="n">
        <x:v>2144</x:v>
      </x:c>
      <x:c r="AC336" s="15" t="n">
        <x:v>1043</x:v>
      </x:c>
      <x:c r="AD336" s="15" t="n">
        <x:v>1813</x:v>
      </x:c>
      <x:c r="AE336" s="15" t="n">
        <x:v>970</x:v>
      </x:c>
      <x:c r="AF336" s="15" t="n">
        <x:v>4309</x:v>
      </x:c>
      <x:c r="AG336" s="15" t="n">
        <x:v>1406</x:v>
      </x:c>
      <x:c r="AH336" s="15" t="n">
        <x:v>1276</x:v>
      </x:c>
      <x:c r="AI336" s="15" t="n">
        <x:v>657</x:v>
      </x:c>
    </x:row>
    <x:row r="337" ht="22" customHeight="1">
      <x:c r="A337" s="1" t="str">
        <x:v>310M700US43340</x:v>
      </x:c>
      <x:c r="B337" s="1" t="str">
        <x:v>43340</x:v>
      </x:c>
      <x:c r="C337" s="1" t="str">
        <x:v>Shreveport-Bossier City, LA Metro Area</x:v>
      </x:c>
      <x:c r="D337" s="5" t="n">
        <x:v>2024</x:v>
      </x:c>
      <x:c r="E337" s="1" t="str">
        <x:v>ok</x:v>
      </x:c>
      <x:c r="F337" s="15" t="n">
        <x:v>58643</x:v>
      </x:c>
      <x:c r="G337" s="15" t="n">
        <x:v>7210</x:v>
      </x:c>
      <x:c r="H337" s="15" t="n">
        <x:v>51433</x:v>
      </x:c>
      <x:c r="I337" s="15" t="n">
        <x:v>28770</x:v>
      </x:c>
      <x:c r="J337" s="15" t="n">
        <x:v>14302</x:v>
      </x:c>
      <x:c r="K337" s="15" t="n">
        <x:v>55.93685</x:v>
      </x:c>
      <x:c r="L337" s="15" t="n">
        <x:v>27.80705</x:v>
      </x:c>
      <x:c r="M337" s="15" t="n">
        <x:v>12.294733</x:v>
      </x:c>
      <x:c r="N337" s="15" t="n">
        <x:v>58643</x:v>
      </x:c>
      <x:c r="O337" s="15" t="n">
        <x:v>3722</x:v>
      </x:c>
      <x:c r="P337" s="15" t="n">
        <x:v>1671</x:v>
      </x:c>
      <x:c r="Q337" s="15" t="n">
        <x:v>707</x:v>
      </x:c>
      <x:c r="R337" s="15" t="n">
        <x:v>3691</x:v>
      </x:c>
      <x:c r="S337" s="15" t="n">
        <x:v>1171</x:v>
      </x:c>
      <x:c r="T337" s="15" t="n">
        <x:v>6841</x:v>
      </x:c>
      <x:c r="U337" s="15" t="n">
        <x:v>1764</x:v>
      </x:c>
      <x:c r="V337" s="15" t="n">
        <x:v>5222</x:v>
      </x:c>
      <x:c r="W337" s="15" t="n">
        <x:v>1256</x:v>
      </x:c>
      <x:c r="X337" s="15" t="n">
        <x:v>5238</x:v>
      </x:c>
      <x:c r="Y337" s="15" t="n">
        <x:v>1604</x:v>
      </x:c>
      <x:c r="Z337" s="15" t="n">
        <x:v>4078</x:v>
      </x:c>
      <x:c r="AA337" s="15" t="n">
        <x:v>1398</x:v>
      </x:c>
      <x:c r="AB337" s="15" t="n">
        <x:v>4142</x:v>
      </x:c>
      <x:c r="AC337" s="15" t="n">
        <x:v>1780</x:v>
      </x:c>
      <x:c r="AD337" s="15" t="n">
        <x:v>6248</x:v>
      </x:c>
      <x:c r="AE337" s="15" t="n">
        <x:v>1901</x:v>
      </x:c>
      <x:c r="AF337" s="15" t="n">
        <x:v>14302</x:v>
      </x:c>
      <x:c r="AG337" s="15" t="n">
        <x:v>2130</x:v>
      </x:c>
      <x:c r="AH337" s="15" t="n">
        <x:v>7210</x:v>
      </x:c>
      <x:c r="AI337" s="15" t="n">
        <x:v>1695</x:v>
      </x:c>
    </x:row>
    <x:row r="338" ht="22" customHeight="1">
      <x:c r="A338" s="1" t="str">
        <x:v>310M700US43420</x:v>
      </x:c>
      <x:c r="B338" s="1" t="str">
        <x:v>43420</x:v>
      </x:c>
      <x:c r="C338" s="1" t="str">
        <x:v>Sierra Vista-Douglas, AZ Metro Area</x:v>
      </x:c>
      <x:c r="D338" s="5" t="n">
        <x:v>2024</x:v>
      </x:c>
      <x:c r="E338" s="1" t="str">
        <x:v>ok</x:v>
      </x:c>
      <x:c r="F338" s="15" t="n">
        <x:v>14660</x:v>
      </x:c>
      <x:c r="G338" s="15" t="n">
        <x:v>1193</x:v>
      </x:c>
      <x:c r="H338" s="15" t="n">
        <x:v>13467</x:v>
      </x:c>
      <x:c r="I338" s="15" t="n">
        <x:v>5630</x:v>
      </x:c>
      <x:c r="J338" s="15" t="n">
        <x:v>1944</x:v>
      </x:c>
      <x:c r="K338" s="15" t="n">
        <x:v>41.805896</x:v>
      </x:c>
      <x:c r="L338" s="15" t="n">
        <x:v>14.435286</x:v>
      </x:c>
      <x:c r="M338" s="15" t="n">
        <x:v>8.13779</x:v>
      </x:c>
      <x:c r="N338" s="15" t="n">
        <x:v>14660</x:v>
      </x:c>
      <x:c r="O338" s="15" t="n">
        <x:v>1832</x:v>
      </x:c>
      <x:c r="P338" s="15" t="n">
        <x:v>1167</x:v>
      </x:c>
      <x:c r="Q338" s="15" t="n">
        <x:v>933</x:v>
      </x:c>
      <x:c r="R338" s="15" t="n">
        <x:v>1599</x:v>
      </x:c>
      <x:c r="S338" s="15" t="n">
        <x:v>792</x:v>
      </x:c>
      <x:c r="T338" s="15" t="n">
        <x:v>1365</x:v>
      </x:c>
      <x:c r="U338" s="15" t="n">
        <x:v>765</x:v>
      </x:c>
      <x:c r="V338" s="15" t="n">
        <x:v>1384</x:v>
      </x:c>
      <x:c r="W338" s="15" t="n">
        <x:v>659</x:v>
      </x:c>
      <x:c r="X338" s="15" t="n">
        <x:v>2322</x:v>
      </x:c>
      <x:c r="Y338" s="15" t="n">
        <x:v>994</x:v>
      </x:c>
      <x:c r="Z338" s="15" t="n">
        <x:v>1549</x:v>
      </x:c>
      <x:c r="AA338" s="15" t="n">
        <x:v>569</x:v>
      </x:c>
      <x:c r="AB338" s="15" t="n">
        <x:v>1173</x:v>
      </x:c>
      <x:c r="AC338" s="15" t="n">
        <x:v>654</x:v>
      </x:c>
      <x:c r="AD338" s="15" t="n">
        <x:v>964</x:v>
      </x:c>
      <x:c r="AE338" s="15" t="n">
        <x:v>511</x:v>
      </x:c>
      <x:c r="AF338" s="15" t="n">
        <x:v>1944</x:v>
      </x:c>
      <x:c r="AG338" s="15" t="n">
        <x:v>756</x:v>
      </x:c>
      <x:c r="AH338" s="15" t="n">
        <x:v>1193</x:v>
      </x:c>
      <x:c r="AI338" s="15" t="n">
        <x:v>459</x:v>
      </x:c>
    </x:row>
    <x:row r="339" ht="22" customHeight="1">
      <x:c r="A339" s="1" t="str">
        <x:v>310M700US43580</x:v>
      </x:c>
      <x:c r="B339" s="1" t="str">
        <x:v>43580</x:v>
      </x:c>
      <x:c r="C339" s="1" t="str">
        <x:v>Sioux City, IA-NE-SD Metro Area</x:v>
      </x:c>
      <x:c r="D339" s="5" t="n">
        <x:v>2024</x:v>
      </x:c>
      <x:c r="E339" s="1" t="str">
        <x:v>ok</x:v>
      </x:c>
      <x:c r="F339" s="15" t="n">
        <x:v>16558</x:v>
      </x:c>
      <x:c r="G339" s="15" t="n">
        <x:v>1162</x:v>
      </x:c>
      <x:c r="H339" s="15" t="n">
        <x:v>15396</x:v>
      </x:c>
      <x:c r="I339" s="15" t="n">
        <x:v>6275</x:v>
      </x:c>
      <x:c r="J339" s="15" t="n">
        <x:v>4239</x:v>
      </x:c>
      <x:c r="K339" s="15" t="n">
        <x:v>40.75734</x:v>
      </x:c>
      <x:c r="L339" s="15" t="n">
        <x:v>27.533125</x:v>
      </x:c>
      <x:c r="M339" s="15" t="n">
        <x:v>7.017756</x:v>
      </x:c>
      <x:c r="N339" s="15" t="n">
        <x:v>16558</x:v>
      </x:c>
      <x:c r="O339" s="15" t="n">
        <x:v>1782</x:v>
      </x:c>
      <x:c r="P339" s="15" t="n">
        <x:v>841</x:v>
      </x:c>
      <x:c r="Q339" s="15" t="n">
        <x:v>417</x:v>
      </x:c>
      <x:c r="R339" s="15" t="n">
        <x:v>2565</x:v>
      </x:c>
      <x:c r="S339" s="15" t="n">
        <x:v>764</x:v>
      </x:c>
      <x:c r="T339" s="15" t="n">
        <x:v>2743</x:v>
      </x:c>
      <x:c r="U339" s="15" t="n">
        <x:v>1062</x:v>
      </x:c>
      <x:c r="V339" s="15" t="n">
        <x:v>1730</x:v>
      </x:c>
      <x:c r="W339" s="15" t="n">
        <x:v>697</x:v>
      </x:c>
      <x:c r="X339" s="15" t="n">
        <x:v>1242</x:v>
      </x:c>
      <x:c r="Y339" s="15" t="n">
        <x:v>555</x:v>
      </x:c>
      <x:c r="Z339" s="15" t="n">
        <x:v>793</x:v>
      </x:c>
      <x:c r="AA339" s="15" t="n">
        <x:v>468</x:v>
      </x:c>
      <x:c r="AB339" s="15" t="n">
        <x:v>716</x:v>
      </x:c>
      <x:c r="AC339" s="15" t="n">
        <x:v>548</x:v>
      </x:c>
      <x:c r="AD339" s="15" t="n">
        <x:v>527</x:v>
      </x:c>
      <x:c r="AE339" s="15" t="n">
        <x:v>375</x:v>
      </x:c>
      <x:c r="AF339" s="15" t="n">
        <x:v>4239</x:v>
      </x:c>
      <x:c r="AG339" s="15" t="n">
        <x:v>1206</x:v>
      </x:c>
      <x:c r="AH339" s="15" t="n">
        <x:v>1162</x:v>
      </x:c>
      <x:c r="AI339" s="15" t="n">
        <x:v>503</x:v>
      </x:c>
    </x:row>
    <x:row r="340" ht="22" customHeight="1">
      <x:c r="A340" s="1" t="str">
        <x:v>310M700US43620</x:v>
      </x:c>
      <x:c r="B340" s="1" t="str">
        <x:v>43620</x:v>
      </x:c>
      <x:c r="C340" s="1" t="str">
        <x:v>Sioux Falls, SD-MN Metro Area</x:v>
      </x:c>
      <x:c r="D340" s="5" t="n">
        <x:v>2024</x:v>
      </x:c>
      <x:c r="E340" s="1" t="str">
        <x:v>ok</x:v>
      </x:c>
      <x:c r="F340" s="15" t="n">
        <x:v>45301</x:v>
      </x:c>
      <x:c r="G340" s="15" t="n">
        <x:v>1652</x:v>
      </x:c>
      <x:c r="H340" s="15" t="n">
        <x:v>43649</x:v>
      </x:c>
      <x:c r="I340" s="15" t="n">
        <x:v>18598</x:v>
      </x:c>
      <x:c r="J340" s="15" t="n">
        <x:v>6769</x:v>
      </x:c>
      <x:c r="K340" s="15" t="n">
        <x:v>42.608078</x:v>
      </x:c>
      <x:c r="L340" s="15" t="n">
        <x:v>15.507801</x:v>
      </x:c>
      <x:c r="M340" s="15" t="n">
        <x:v>3.646719</x:v>
      </x:c>
      <x:c r="N340" s="15" t="n">
        <x:v>45301</x:v>
      </x:c>
      <x:c r="O340" s="15" t="n">
        <x:v>2889</x:v>
      </x:c>
      <x:c r="P340" s="15" t="n">
        <x:v>2055</x:v>
      </x:c>
      <x:c r="Q340" s="15" t="n">
        <x:v>985</x:v>
      </x:c>
      <x:c r="R340" s="15" t="n">
        <x:v>3976</x:v>
      </x:c>
      <x:c r="S340" s="15" t="n">
        <x:v>1219</x:v>
      </x:c>
      <x:c r="T340" s="15" t="n">
        <x:v>7022</x:v>
      </x:c>
      <x:c r="U340" s="15" t="n">
        <x:v>1751</x:v>
      </x:c>
      <x:c r="V340" s="15" t="n">
        <x:v>6276</x:v>
      </x:c>
      <x:c r="W340" s="15" t="n">
        <x:v>1619</x:v>
      </x:c>
      <x:c r="X340" s="15" t="n">
        <x:v>5722</x:v>
      </x:c>
      <x:c r="Y340" s="15" t="n">
        <x:v>1325</x:v>
      </x:c>
      <x:c r="Z340" s="15" t="n">
        <x:v>5308</x:v>
      </x:c>
      <x:c r="AA340" s="15" t="n">
        <x:v>1528</x:v>
      </x:c>
      <x:c r="AB340" s="15" t="n">
        <x:v>3327</x:v>
      </x:c>
      <x:c r="AC340" s="15" t="n">
        <x:v>1388</x:v>
      </x:c>
      <x:c r="AD340" s="15" t="n">
        <x:v>3194</x:v>
      </x:c>
      <x:c r="AE340" s="15" t="n">
        <x:v>1241</x:v>
      </x:c>
      <x:c r="AF340" s="15" t="n">
        <x:v>6769</x:v>
      </x:c>
      <x:c r="AG340" s="15" t="n">
        <x:v>1381</x:v>
      </x:c>
      <x:c r="AH340" s="15" t="n">
        <x:v>1652</x:v>
      </x:c>
      <x:c r="AI340" s="15" t="n">
        <x:v>774</x:v>
      </x:c>
    </x:row>
    <x:row r="341" ht="22" customHeight="1">
      <x:c r="A341" s="1" t="str">
        <x:v>310M700US43640</x:v>
      </x:c>
      <x:c r="B341" s="1" t="str">
        <x:v>43640</x:v>
      </x:c>
      <x:c r="C341" s="1" t="str">
        <x:v>Slidell-Mandeville-Covington, LA Metro Area</x:v>
      </x:c>
      <x:c r="D341" s="5" t="n">
        <x:v>2024</x:v>
      </x:c>
      <x:c r="E341" s="1" t="str">
        <x:v>ok</x:v>
      </x:c>
      <x:c r="F341" s="15" t="n">
        <x:v>22924</x:v>
      </x:c>
      <x:c r="G341" s="15" t="n">
        <x:v>1377</x:v>
      </x:c>
      <x:c r="H341" s="15" t="n">
        <x:v>21547</x:v>
      </x:c>
      <x:c r="I341" s="15" t="n">
        <x:v>11992</x:v>
      </x:c>
      <x:c r="J341" s="15" t="n">
        <x:v>5188</x:v>
      </x:c>
      <x:c r="K341" s="15" t="n">
        <x:v>55.65508</x:v>
      </x:c>
      <x:c r="L341" s="15" t="n">
        <x:v>24.077598</x:v>
      </x:c>
      <x:c r="M341" s="15" t="n">
        <x:v>6.006805</x:v>
      </x:c>
      <x:c r="N341" s="15" t="n">
        <x:v>22924</x:v>
      </x:c>
      <x:c r="O341" s="15" t="n">
        <x:v>2537</x:v>
      </x:c>
      <x:c r="P341" s="15" t="n">
        <x:v>684</x:v>
      </x:c>
      <x:c r="Q341" s="15" t="n">
        <x:v>526</x:v>
      </x:c>
      <x:c r="R341" s="15" t="n">
        <x:v>903</x:v>
      </x:c>
      <x:c r="S341" s="15" t="n">
        <x:v>557</x:v>
      </x:c>
      <x:c r="T341" s="15" t="n">
        <x:v>2991</x:v>
      </x:c>
      <x:c r="U341" s="15" t="n">
        <x:v>1129</x:v>
      </x:c>
      <x:c r="V341" s="15" t="n">
        <x:v>3344</x:v>
      </x:c>
      <x:c r="W341" s="15" t="n">
        <x:v>1146</x:v>
      </x:c>
      <x:c r="X341" s="15" t="n">
        <x:v>1633</x:v>
      </x:c>
      <x:c r="Y341" s="15" t="n">
        <x:v>858</x:v>
      </x:c>
      <x:c r="Z341" s="15" t="n">
        <x:v>1798</x:v>
      </x:c>
      <x:c r="AA341" s="15" t="n">
        <x:v>968</x:v>
      </x:c>
      <x:c r="AB341" s="15" t="n">
        <x:v>1881</x:v>
      </x:c>
      <x:c r="AC341" s="15" t="n">
        <x:v>871</x:v>
      </x:c>
      <x:c r="AD341" s="15" t="n">
        <x:v>3125</x:v>
      </x:c>
      <x:c r="AE341" s="15" t="n">
        <x:v>1223</x:v>
      </x:c>
      <x:c r="AF341" s="15" t="n">
        <x:v>5188</x:v>
      </x:c>
      <x:c r="AG341" s="15" t="n">
        <x:v>1601</x:v>
      </x:c>
      <x:c r="AH341" s="15" t="n">
        <x:v>1377</x:v>
      </x:c>
      <x:c r="AI341" s="15" t="n">
        <x:v>527</x:v>
      </x:c>
    </x:row>
    <x:row r="342" ht="22" customHeight="1">
      <x:c r="A342" s="1" t="str">
        <x:v>310M700US43780</x:v>
      </x:c>
      <x:c r="B342" s="1" t="str">
        <x:v>43780</x:v>
      </x:c>
      <x:c r="C342" s="1" t="str">
        <x:v>South Bend-Mishawaka, IN-MI Metro Area</x:v>
      </x:c>
      <x:c r="D342" s="5" t="n">
        <x:v>2024</x:v>
      </x:c>
      <x:c r="E342" s="1" t="str">
        <x:v>ok</x:v>
      </x:c>
      <x:c r="F342" s="15" t="n">
        <x:v>36095</x:v>
      </x:c>
      <x:c r="G342" s="15" t="n">
        <x:v>2602</x:v>
      </x:c>
      <x:c r="H342" s="15" t="n">
        <x:v>33493</x:v>
      </x:c>
      <x:c r="I342" s="15" t="n">
        <x:v>17513</x:v>
      </x:c>
      <x:c r="J342" s="15" t="n">
        <x:v>8577</x:v>
      </x:c>
      <x:c r="K342" s="15" t="n">
        <x:v>52.288538</x:v>
      </x:c>
      <x:c r="L342" s="15" t="n">
        <x:v>25.608336</x:v>
      </x:c>
      <x:c r="M342" s="15" t="n">
        <x:v>7.208755</x:v>
      </x:c>
      <x:c r="N342" s="15" t="n">
        <x:v>36095</x:v>
      </x:c>
      <x:c r="O342" s="15" t="n">
        <x:v>2676</x:v>
      </x:c>
      <x:c r="P342" s="15" t="n">
        <x:v>1331</x:v>
      </x:c>
      <x:c r="Q342" s="15" t="n">
        <x:v>791</x:v>
      </x:c>
      <x:c r="R342" s="15" t="n">
        <x:v>2570</x:v>
      </x:c>
      <x:c r="S342" s="15" t="n">
        <x:v>993</x:v>
      </x:c>
      <x:c r="T342" s="15" t="n">
        <x:v>5038</x:v>
      </x:c>
      <x:c r="U342" s="15" t="n">
        <x:v>1356</x:v>
      </x:c>
      <x:c r="V342" s="15" t="n">
        <x:v>2911</x:v>
      </x:c>
      <x:c r="W342" s="15" t="n">
        <x:v>896</x:v>
      </x:c>
      <x:c r="X342" s="15" t="n">
        <x:v>4130</x:v>
      </x:c>
      <x:c r="Y342" s="15" t="n">
        <x:v>933</x:v>
      </x:c>
      <x:c r="Z342" s="15" t="n">
        <x:v>3514</x:v>
      </x:c>
      <x:c r="AA342" s="15" t="n">
        <x:v>995</x:v>
      </x:c>
      <x:c r="AB342" s="15" t="n">
        <x:v>2709</x:v>
      </x:c>
      <x:c r="AC342" s="15" t="n">
        <x:v>1114</x:v>
      </x:c>
      <x:c r="AD342" s="15" t="n">
        <x:v>2713</x:v>
      </x:c>
      <x:c r="AE342" s="15" t="n">
        <x:v>945</x:v>
      </x:c>
      <x:c r="AF342" s="15" t="n">
        <x:v>8577</x:v>
      </x:c>
      <x:c r="AG342" s="15" t="n">
        <x:v>1501</x:v>
      </x:c>
      <x:c r="AH342" s="15" t="n">
        <x:v>2602</x:v>
      </x:c>
      <x:c r="AI342" s="15" t="n">
        <x:v>855</x:v>
      </x:c>
    </x:row>
    <x:row r="343" ht="22" customHeight="1">
      <x:c r="A343" s="1" t="str">
        <x:v>310M700US43900</x:v>
      </x:c>
      <x:c r="B343" s="1" t="str">
        <x:v>43900</x:v>
      </x:c>
      <x:c r="C343" s="1" t="str">
        <x:v>Spartanburg, SC Metro Area</x:v>
      </x:c>
      <x:c r="D343" s="5" t="n">
        <x:v>2024</x:v>
      </x:c>
      <x:c r="E343" s="1" t="str">
        <x:v>ok</x:v>
      </x:c>
      <x:c r="F343" s="15" t="n">
        <x:v>40322</x:v>
      </x:c>
      <x:c r="G343" s="15" t="n">
        <x:v>3390</x:v>
      </x:c>
      <x:c r="H343" s="15" t="n">
        <x:v>36932</x:v>
      </x:c>
      <x:c r="I343" s="15" t="n">
        <x:v>18549</x:v>
      </x:c>
      <x:c r="J343" s="15" t="n">
        <x:v>10382</x:v>
      </x:c>
      <x:c r="K343" s="15" t="n">
        <x:v>50.224737</x:v>
      </x:c>
      <x:c r="L343" s="15" t="n">
        <x:v>28.111123</x:v>
      </x:c>
      <x:c r="M343" s="15" t="n">
        <x:v>8.407321</x:v>
      </x:c>
      <x:c r="N343" s="15" t="n">
        <x:v>40322</x:v>
      </x:c>
      <x:c r="O343" s="15" t="n">
        <x:v>2923</x:v>
      </x:c>
      <x:c r="P343" s="15" t="n">
        <x:v>2991</x:v>
      </x:c>
      <x:c r="Q343" s="15" t="n">
        <x:v>1170</x:v>
      </x:c>
      <x:c r="R343" s="15" t="n">
        <x:v>3182</x:v>
      </x:c>
      <x:c r="S343" s="15" t="n">
        <x:v>1207</x:v>
      </x:c>
      <x:c r="T343" s="15" t="n">
        <x:v>5299</x:v>
      </x:c>
      <x:c r="U343" s="15" t="n">
        <x:v>1572</x:v>
      </x:c>
      <x:c r="V343" s="15" t="n">
        <x:v>4570</x:v>
      </x:c>
      <x:c r="W343" s="15" t="n">
        <x:v>1409</x:v>
      </x:c>
      <x:c r="X343" s="15" t="n">
        <x:v>2341</x:v>
      </x:c>
      <x:c r="Y343" s="15" t="n">
        <x:v>1011</x:v>
      </x:c>
      <x:c r="Z343" s="15" t="n">
        <x:v>4015</x:v>
      </x:c>
      <x:c r="AA343" s="15" t="n">
        <x:v>1338</x:v>
      </x:c>
      <x:c r="AB343" s="15" t="n">
        <x:v>1517</x:v>
      </x:c>
      <x:c r="AC343" s="15" t="n">
        <x:v>953</x:v>
      </x:c>
      <x:c r="AD343" s="15" t="n">
        <x:v>2635</x:v>
      </x:c>
      <x:c r="AE343" s="15" t="n">
        <x:v>1078</x:v>
      </x:c>
      <x:c r="AF343" s="15" t="n">
        <x:v>10382</x:v>
      </x:c>
      <x:c r="AG343" s="15" t="n">
        <x:v>2191</x:v>
      </x:c>
      <x:c r="AH343" s="15" t="n">
        <x:v>3390</x:v>
      </x:c>
      <x:c r="AI343" s="15" t="n">
        <x:v>896</x:v>
      </x:c>
    </x:row>
    <x:row r="344" ht="22" customHeight="1">
      <x:c r="A344" s="1" t="str">
        <x:v>310M700US44060</x:v>
      </x:c>
      <x:c r="B344" s="1" t="str">
        <x:v>44060</x:v>
      </x:c>
      <x:c r="C344" s="1" t="str">
        <x:v>Spokane-Spokane Valley, WA Metro Area</x:v>
      </x:c>
      <x:c r="D344" s="5" t="n">
        <x:v>2024</x:v>
      </x:c>
      <x:c r="E344" s="1" t="str">
        <x:v>ok</x:v>
      </x:c>
      <x:c r="F344" s="15" t="n">
        <x:v>81500</x:v>
      </x:c>
      <x:c r="G344" s="15" t="n">
        <x:v>4714</x:v>
      </x:c>
      <x:c r="H344" s="15" t="n">
        <x:v>76786</x:v>
      </x:c>
      <x:c r="I344" s="15" t="n">
        <x:v>36797</x:v>
      </x:c>
      <x:c r="J344" s="15" t="n">
        <x:v>17824</x:v>
      </x:c>
      <x:c r="K344" s="15" t="n">
        <x:v>47.921496</x:v>
      </x:c>
      <x:c r="L344" s="15" t="n">
        <x:v>23.212565</x:v>
      </x:c>
      <x:c r="M344" s="15" t="n">
        <x:v>5.784049</x:v>
      </x:c>
      <x:c r="N344" s="15" t="n">
        <x:v>81500</x:v>
      </x:c>
      <x:c r="O344" s="15" t="n">
        <x:v>3736</x:v>
      </x:c>
      <x:c r="P344" s="15" t="n">
        <x:v>1560</x:v>
      </x:c>
      <x:c r="Q344" s="15" t="n">
        <x:v>534</x:v>
      </x:c>
      <x:c r="R344" s="15" t="n">
        <x:v>7391</x:v>
      </x:c>
      <x:c r="S344" s="15" t="n">
        <x:v>1785</x:v>
      </x:c>
      <x:c r="T344" s="15" t="n">
        <x:v>10124</x:v>
      </x:c>
      <x:c r="U344" s="15" t="n">
        <x:v>2064</x:v>
      </x:c>
      <x:c r="V344" s="15" t="n">
        <x:v>9473</x:v>
      </x:c>
      <x:c r="W344" s="15" t="n">
        <x:v>1803</x:v>
      </x:c>
      <x:c r="X344" s="15" t="n">
        <x:v>11441</x:v>
      </x:c>
      <x:c r="Y344" s="15" t="n">
        <x:v>1904</x:v>
      </x:c>
      <x:c r="Z344" s="15" t="n">
        <x:v>5686</x:v>
      </x:c>
      <x:c r="AA344" s="15" t="n">
        <x:v>1363</x:v>
      </x:c>
      <x:c r="AB344" s="15" t="n">
        <x:v>6087</x:v>
      </x:c>
      <x:c r="AC344" s="15" t="n">
        <x:v>1395</x:v>
      </x:c>
      <x:c r="AD344" s="15" t="n">
        <x:v>7200</x:v>
      </x:c>
      <x:c r="AE344" s="15" t="n">
        <x:v>1476</x:v>
      </x:c>
      <x:c r="AF344" s="15" t="n">
        <x:v>17824</x:v>
      </x:c>
      <x:c r="AG344" s="15" t="n">
        <x:v>2101</x:v>
      </x:c>
      <x:c r="AH344" s="15" t="n">
        <x:v>4714</x:v>
      </x:c>
      <x:c r="AI344" s="15" t="n">
        <x:v>1239</x:v>
      </x:c>
    </x:row>
    <x:row r="345" ht="22" customHeight="1">
      <x:c r="A345" s="1" t="str">
        <x:v>310M700US44100</x:v>
      </x:c>
      <x:c r="B345" s="1" t="str">
        <x:v>44100</x:v>
      </x:c>
      <x:c r="C345" s="1" t="str">
        <x:v>Springfield, IL Metro Area</x:v>
      </x:c>
      <x:c r="D345" s="5" t="n">
        <x:v>2024</x:v>
      </x:c>
      <x:c r="E345" s="1" t="str">
        <x:v>ok</x:v>
      </x:c>
      <x:c r="F345" s="15" t="n">
        <x:v>26296</x:v>
      </x:c>
      <x:c r="G345" s="15" t="n">
        <x:v>2905</x:v>
      </x:c>
      <x:c r="H345" s="15" t="n">
        <x:v>23391</x:v>
      </x:c>
      <x:c r="I345" s="15" t="n">
        <x:v>10448</x:v>
      </x:c>
      <x:c r="J345" s="15" t="n">
        <x:v>6484</x:v>
      </x:c>
      <x:c r="K345" s="15" t="n">
        <x:v>44.666752</x:v>
      </x:c>
      <x:c r="L345" s="15" t="n">
        <x:v>27.720063</x:v>
      </x:c>
      <x:c r="M345" s="15" t="n">
        <x:v>11.047308</x:v>
      </x:c>
      <x:c r="N345" s="15" t="n">
        <x:v>26296</x:v>
      </x:c>
      <x:c r="O345" s="15" t="n">
        <x:v>2371</x:v>
      </x:c>
      <x:c r="P345" s="15" t="n">
        <x:v>1200</x:v>
      </x:c>
      <x:c r="Q345" s="15" t="n">
        <x:v>440</x:v>
      </x:c>
      <x:c r="R345" s="15" t="n">
        <x:v>2942</x:v>
      </x:c>
      <x:c r="S345" s="15" t="n">
        <x:v>889</x:v>
      </x:c>
      <x:c r="T345" s="15" t="n">
        <x:v>3396</x:v>
      </x:c>
      <x:c r="U345" s="15" t="n">
        <x:v>1053</x:v>
      </x:c>
      <x:c r="V345" s="15" t="n">
        <x:v>3098</x:v>
      </x:c>
      <x:c r="W345" s="15" t="n">
        <x:v>1191</x:v>
      </x:c>
      <x:c r="X345" s="15" t="n">
        <x:v>2307</x:v>
      </x:c>
      <x:c r="Y345" s="15" t="n">
        <x:v>805</x:v>
      </x:c>
      <x:c r="Z345" s="15" t="n">
        <x:v>1751</x:v>
      </x:c>
      <x:c r="AA345" s="15" t="n">
        <x:v>752</x:v>
      </x:c>
      <x:c r="AB345" s="15" t="n">
        <x:v>1249</x:v>
      </x:c>
      <x:c r="AC345" s="15" t="n">
        <x:v>557</x:v>
      </x:c>
      <x:c r="AD345" s="15" t="n">
        <x:v>964</x:v>
      </x:c>
      <x:c r="AE345" s="15" t="n">
        <x:v>517</x:v>
      </x:c>
      <x:c r="AF345" s="15" t="n">
        <x:v>6484</x:v>
      </x:c>
      <x:c r="AG345" s="15" t="n">
        <x:v>1370</x:v>
      </x:c>
      <x:c r="AH345" s="15" t="n">
        <x:v>2905</x:v>
      </x:c>
      <x:c r="AI345" s="15" t="n">
        <x:v>1099</x:v>
      </x:c>
    </x:row>
    <x:row r="346" ht="22" customHeight="1">
      <x:c r="A346" s="1" t="str">
        <x:v>310M700US44140</x:v>
      </x:c>
      <x:c r="B346" s="1" t="str">
        <x:v>44140</x:v>
      </x:c>
      <x:c r="C346" s="1" t="str">
        <x:v>Springfield, MA Metro Area</x:v>
      </x:c>
      <x:c r="D346" s="5" t="n">
        <x:v>2024</x:v>
      </x:c>
      <x:c r="E346" s="1" t="str">
        <x:v>ok</x:v>
      </x:c>
      <x:c r="F346" s="15" t="n">
        <x:v>67219</x:v>
      </x:c>
      <x:c r="G346" s="15" t="n">
        <x:v>5825</x:v>
      </x:c>
      <x:c r="H346" s="15" t="n">
        <x:v>61394</x:v>
      </x:c>
      <x:c r="I346" s="15" t="n">
        <x:v>33885</x:v>
      </x:c>
      <x:c r="J346" s="15" t="n">
        <x:v>18389</x:v>
      </x:c>
      <x:c r="K346" s="15" t="n">
        <x:v>55.19269</x:v>
      </x:c>
      <x:c r="L346" s="15" t="n">
        <x:v>29.952438</x:v>
      </x:c>
      <x:c r="M346" s="15" t="n">
        <x:v>8.665705</x:v>
      </x:c>
      <x:c r="N346" s="15" t="n">
        <x:v>67219</x:v>
      </x:c>
      <x:c r="O346" s="15" t="n">
        <x:v>3454</x:v>
      </x:c>
      <x:c r="P346" s="15" t="n">
        <x:v>3378</x:v>
      </x:c>
      <x:c r="Q346" s="15" t="n">
        <x:v>1488</x:v>
      </x:c>
      <x:c r="R346" s="15" t="n">
        <x:v>5108</x:v>
      </x:c>
      <x:c r="S346" s="15" t="n">
        <x:v>1900</x:v>
      </x:c>
      <x:c r="T346" s="15" t="n">
        <x:v>6409</x:v>
      </x:c>
      <x:c r="U346" s="15" t="n">
        <x:v>1582</x:v>
      </x:c>
      <x:c r="V346" s="15" t="n">
        <x:v>5998</x:v>
      </x:c>
      <x:c r="W346" s="15" t="n">
        <x:v>1454</x:v>
      </x:c>
      <x:c r="X346" s="15" t="n">
        <x:v>6616</x:v>
      </x:c>
      <x:c r="Y346" s="15" t="n">
        <x:v>1542</x:v>
      </x:c>
      <x:c r="Z346" s="15" t="n">
        <x:v>4894</x:v>
      </x:c>
      <x:c r="AA346" s="15" t="n">
        <x:v>1388</x:v>
      </x:c>
      <x:c r="AB346" s="15" t="n">
        <x:v>3180</x:v>
      </x:c>
      <x:c r="AC346" s="15" t="n">
        <x:v>1003</x:v>
      </x:c>
      <x:c r="AD346" s="15" t="n">
        <x:v>7422</x:v>
      </x:c>
      <x:c r="AE346" s="15" t="n">
        <x:v>1938</x:v>
      </x:c>
      <x:c r="AF346" s="15" t="n">
        <x:v>18389</x:v>
      </x:c>
      <x:c r="AG346" s="15" t="n">
        <x:v>3075</x:v>
      </x:c>
      <x:c r="AH346" s="15" t="n">
        <x:v>5825</x:v>
      </x:c>
      <x:c r="AI346" s="15" t="n">
        <x:v>1202</x:v>
      </x:c>
    </x:row>
    <x:row r="347" ht="22" customHeight="1">
      <x:c r="A347" s="1" t="str">
        <x:v>310M700US44180</x:v>
      </x:c>
      <x:c r="B347" s="1" t="str">
        <x:v>44180</x:v>
      </x:c>
      <x:c r="C347" s="1" t="str">
        <x:v>Springfield, MO Metro Area</x:v>
      </x:c>
      <x:c r="D347" s="5" t="n">
        <x:v>2024</x:v>
      </x:c>
      <x:c r="E347" s="1" t="str">
        <x:v>ok</x:v>
      </x:c>
      <x:c r="F347" s="15" t="n">
        <x:v>71105</x:v>
      </x:c>
      <x:c r="G347" s="15" t="n">
        <x:v>4141</x:v>
      </x:c>
      <x:c r="H347" s="15" t="n">
        <x:v>66964</x:v>
      </x:c>
      <x:c r="I347" s="15" t="n">
        <x:v>25326</x:v>
      </x:c>
      <x:c r="J347" s="15" t="n">
        <x:v>10510</x:v>
      </x:c>
      <x:c r="K347" s="15" t="n">
        <x:v>37.820321</x:v>
      </x:c>
      <x:c r="L347" s="15" t="n">
        <x:v>15.695</x:v>
      </x:c>
      <x:c r="M347" s="15" t="n">
        <x:v>5.823782</x:v>
      </x:c>
      <x:c r="N347" s="15" t="n">
        <x:v>71105</x:v>
      </x:c>
      <x:c r="O347" s="15" t="n">
        <x:v>3473</x:v>
      </x:c>
      <x:c r="P347" s="15" t="n">
        <x:v>2244</x:v>
      </x:c>
      <x:c r="Q347" s="15" t="n">
        <x:v>825</x:v>
      </x:c>
      <x:c r="R347" s="15" t="n">
        <x:v>8735</x:v>
      </x:c>
      <x:c r="S347" s="15" t="n">
        <x:v>1637</x:v>
      </x:c>
      <x:c r="T347" s="15" t="n">
        <x:v>9717</x:v>
      </x:c>
      <x:c r="U347" s="15" t="n">
        <x:v>1964</x:v>
      </x:c>
      <x:c r="V347" s="15" t="n">
        <x:v>12951</x:v>
      </x:c>
      <x:c r="W347" s="15" t="n">
        <x:v>2225</x:v>
      </x:c>
      <x:c r="X347" s="15" t="n">
        <x:v>7991</x:v>
      </x:c>
      <x:c r="Y347" s="15" t="n">
        <x:v>1416</x:v>
      </x:c>
      <x:c r="Z347" s="15" t="n">
        <x:v>7244</x:v>
      </x:c>
      <x:c r="AA347" s="15" t="n">
        <x:v>1446</x:v>
      </x:c>
      <x:c r="AB347" s="15" t="n">
        <x:v>3259</x:v>
      </x:c>
      <x:c r="AC347" s="15" t="n">
        <x:v>1024</x:v>
      </x:c>
      <x:c r="AD347" s="15" t="n">
        <x:v>4313</x:v>
      </x:c>
      <x:c r="AE347" s="15" t="n">
        <x:v>1241</x:v>
      </x:c>
      <x:c r="AF347" s="15" t="n">
        <x:v>10510</x:v>
      </x:c>
      <x:c r="AG347" s="15" t="n">
        <x:v>1800</x:v>
      </x:c>
      <x:c r="AH347" s="15" t="n">
        <x:v>4141</x:v>
      </x:c>
      <x:c r="AI347" s="15" t="n">
        <x:v>1292</x:v>
      </x:c>
    </x:row>
    <x:row r="348" ht="22" customHeight="1">
      <x:c r="A348" s="1" t="str">
        <x:v>310M700US44220</x:v>
      </x:c>
      <x:c r="B348" s="1" t="str">
        <x:v>44220</x:v>
      </x:c>
      <x:c r="C348" s="1" t="str">
        <x:v>Springfield, OH Metro Area</x:v>
      </x:c>
      <x:c r="D348" s="5" t="n">
        <x:v>2024</x:v>
      </x:c>
      <x:c r="E348" s="1" t="str">
        <x:v>ok</x:v>
      </x:c>
      <x:c r="F348" s="15" t="n">
        <x:v>17123</x:v>
      </x:c>
      <x:c r="G348" s="15" t="n">
        <x:v>1261</x:v>
      </x:c>
      <x:c r="H348" s="15" t="n">
        <x:v>15862</x:v>
      </x:c>
      <x:c r="I348" s="15" t="n">
        <x:v>7356</x:v>
      </x:c>
      <x:c r="J348" s="15" t="n">
        <x:v>4021</x:v>
      </x:c>
      <x:c r="K348" s="15" t="n">
        <x:v>46.374984</x:v>
      </x:c>
      <x:c r="L348" s="15" t="n">
        <x:v>25.349893</x:v>
      </x:c>
      <x:c r="M348" s="15" t="n">
        <x:v>7.364364</x:v>
      </x:c>
      <x:c r="N348" s="15" t="n">
        <x:v>17123</x:v>
      </x:c>
      <x:c r="O348" s="15" t="n">
        <x:v>1678</x:v>
      </x:c>
      <x:c r="P348" s="15" t="n">
        <x:v>770</x:v>
      </x:c>
      <x:c r="Q348" s="15" t="n">
        <x:v>406</x:v>
      </x:c>
      <x:c r="R348" s="15" t="n">
        <x:v>1929</x:v>
      </x:c>
      <x:c r="S348" s="15" t="n">
        <x:v>812</x:v>
      </x:c>
      <x:c r="T348" s="15" t="n">
        <x:v>2467</x:v>
      </x:c>
      <x:c r="U348" s="15" t="n">
        <x:v>910</x:v>
      </x:c>
      <x:c r="V348" s="15" t="n">
        <x:v>2664</x:v>
      </x:c>
      <x:c r="W348" s="15" t="n">
        <x:v>804</x:v>
      </x:c>
      <x:c r="X348" s="15" t="n">
        <x:v>676</x:v>
      </x:c>
      <x:c r="Y348" s="15" t="n">
        <x:v>460</x:v>
      </x:c>
      <x:c r="Z348" s="15" t="n">
        <x:v>1476</x:v>
      </x:c>
      <x:c r="AA348" s="15" t="n">
        <x:v>546</x:v>
      </x:c>
      <x:c r="AB348" s="15" t="n">
        <x:v>1079</x:v>
      </x:c>
      <x:c r="AC348" s="15" t="n">
        <x:v>508</x:v>
      </x:c>
      <x:c r="AD348" s="15" t="n">
        <x:v>780</x:v>
      </x:c>
      <x:c r="AE348" s="15" t="n">
        <x:v>405</x:v>
      </x:c>
      <x:c r="AF348" s="15" t="n">
        <x:v>4021</x:v>
      </x:c>
      <x:c r="AG348" s="15" t="n">
        <x:v>1048</x:v>
      </x:c>
      <x:c r="AH348" s="15" t="n">
        <x:v>1261</x:v>
      </x:c>
      <x:c r="AI348" s="15" t="n">
        <x:v>602</x:v>
      </x:c>
    </x:row>
    <x:row r="349" ht="22" customHeight="1">
      <x:c r="A349" s="1" t="str">
        <x:v>310M700US41060</x:v>
      </x:c>
      <x:c r="B349" s="1" t="str">
        <x:v>41060</x:v>
      </x:c>
      <x:c r="C349" s="1" t="str">
        <x:v>St. Cloud, MN Metro Area</x:v>
      </x:c>
      <x:c r="D349" s="5" t="n">
        <x:v>2024</x:v>
      </x:c>
      <x:c r="E349" s="1" t="str">
        <x:v>ok</x:v>
      </x:c>
      <x:c r="F349" s="15" t="n">
        <x:v>25834</x:v>
      </x:c>
      <x:c r="G349" s="15" t="n">
        <x:v>1114</x:v>
      </x:c>
      <x:c r="H349" s="15" t="n">
        <x:v>24720</x:v>
      </x:c>
      <x:c r="I349" s="15" t="n">
        <x:v>12158</x:v>
      </x:c>
      <x:c r="J349" s="15" t="n">
        <x:v>7521</x:v>
      </x:c>
      <x:c r="K349" s="15" t="n">
        <x:v>49.182848</x:v>
      </x:c>
      <x:c r="L349" s="15" t="n">
        <x:v>30.424757</x:v>
      </x:c>
      <x:c r="M349" s="15" t="n">
        <x:v>4.312147</x:v>
      </x:c>
      <x:c r="N349" s="15" t="n">
        <x:v>25834</x:v>
      </x:c>
      <x:c r="O349" s="15" t="n">
        <x:v>1913</x:v>
      </x:c>
      <x:c r="P349" s="15" t="n">
        <x:v>1071</x:v>
      </x:c>
      <x:c r="Q349" s="15" t="n">
        <x:v>777</x:v>
      </x:c>
      <x:c r="R349" s="15" t="n">
        <x:v>3590</x:v>
      </x:c>
      <x:c r="S349" s="15" t="n">
        <x:v>1382</x:v>
      </x:c>
      <x:c r="T349" s="15" t="n">
        <x:v>2084</x:v>
      </x:c>
      <x:c r="U349" s="15" t="n">
        <x:v>889</x:v>
      </x:c>
      <x:c r="V349" s="15" t="n">
        <x:v>2940</x:v>
      </x:c>
      <x:c r="W349" s="15" t="n">
        <x:v>1032</x:v>
      </x:c>
      <x:c r="X349" s="15" t="n">
        <x:v>2877</x:v>
      </x:c>
      <x:c r="Y349" s="15" t="n">
        <x:v>1298</x:v>
      </x:c>
      <x:c r="Z349" s="15" t="n">
        <x:v>1348</x:v>
      </x:c>
      <x:c r="AA349" s="15" t="n">
        <x:v>775</x:v>
      </x:c>
      <x:c r="AB349" s="15" t="n">
        <x:v>1300</x:v>
      </x:c>
      <x:c r="AC349" s="15" t="n">
        <x:v>577</x:v>
      </x:c>
      <x:c r="AD349" s="15" t="n">
        <x:v>1989</x:v>
      </x:c>
      <x:c r="AE349" s="15" t="n">
        <x:v>806</x:v>
      </x:c>
      <x:c r="AF349" s="15" t="n">
        <x:v>7521</x:v>
      </x:c>
      <x:c r="AG349" s="15" t="n">
        <x:v>1631</x:v>
      </x:c>
      <x:c r="AH349" s="15" t="n">
        <x:v>1114</x:v>
      </x:c>
      <x:c r="AI349" s="15" t="n">
        <x:v>487</x:v>
      </x:c>
    </x:row>
    <x:row r="350" ht="22" customHeight="1">
      <x:c r="A350" s="1" t="str">
        <x:v>310M700US41100</x:v>
      </x:c>
      <x:c r="B350" s="1" t="str">
        <x:v>41100</x:v>
      </x:c>
      <x:c r="C350" s="1" t="str">
        <x:v>St. George, UT Metro Area</x:v>
      </x:c>
      <x:c r="D350" s="5" t="n">
        <x:v>2024</x:v>
      </x:c>
      <x:c r="E350" s="1" t="str">
        <x:v>ok</x:v>
      </x:c>
      <x:c r="F350" s="15" t="n">
        <x:v>21822</x:v>
      </x:c>
      <x:c r="G350" s="15" t="n">
        <x:v>1310</x:v>
      </x:c>
      <x:c r="H350" s="15" t="n">
        <x:v>20512</x:v>
      </x:c>
      <x:c r="I350" s="15" t="n">
        <x:v>10501</x:v>
      </x:c>
      <x:c r="J350" s="15" t="n">
        <x:v>4634</x:v>
      </x:c>
      <x:c r="K350" s="15" t="n">
        <x:v>51.194423</x:v>
      </x:c>
      <x:c r="L350" s="15" t="n">
        <x:v>22.591654</x:v>
      </x:c>
      <x:c r="M350" s="15" t="n">
        <x:v>6.003116</x:v>
      </x:c>
      <x:c r="N350" s="15" t="n">
        <x:v>21822</x:v>
      </x:c>
      <x:c r="O350" s="15" t="n">
        <x:v>2372</x:v>
      </x:c>
      <x:c r="P350" s="15" t="n">
        <x:v>721</x:v>
      </x:c>
      <x:c r="Q350" s="15" t="n">
        <x:v>349</x:v>
      </x:c>
      <x:c r="R350" s="15" t="n">
        <x:v>1446</x:v>
      </x:c>
      <x:c r="S350" s="15" t="n">
        <x:v>853</x:v>
      </x:c>
      <x:c r="T350" s="15" t="n">
        <x:v>1101</x:v>
      </x:c>
      <x:c r="U350" s="15" t="n">
        <x:v>562</x:v>
      </x:c>
      <x:c r="V350" s="15" t="n">
        <x:v>4060</x:v>
      </x:c>
      <x:c r="W350" s="15" t="n">
        <x:v>1579</x:v>
      </x:c>
      <x:c r="X350" s="15" t="n">
        <x:v>2683</x:v>
      </x:c>
      <x:c r="Y350" s="15" t="n">
        <x:v>1037</x:v>
      </x:c>
      <x:c r="Z350" s="15" t="n">
        <x:v>1693</x:v>
      </x:c>
      <x:c r="AA350" s="15" t="n">
        <x:v>852</x:v>
      </x:c>
      <x:c r="AB350" s="15" t="n">
        <x:v>1286</x:v>
      </x:c>
      <x:c r="AC350" s="15" t="n">
        <x:v>702</x:v>
      </x:c>
      <x:c r="AD350" s="15" t="n">
        <x:v>2888</x:v>
      </x:c>
      <x:c r="AE350" s="15" t="n">
        <x:v>1100</x:v>
      </x:c>
      <x:c r="AF350" s="15" t="n">
        <x:v>4634</x:v>
      </x:c>
      <x:c r="AG350" s="15" t="n">
        <x:v>1226</x:v>
      </x:c>
      <x:c r="AH350" s="15" t="n">
        <x:v>1310</x:v>
      </x:c>
      <x:c r="AI350" s="15" t="n">
        <x:v>699</x:v>
      </x:c>
    </x:row>
    <x:row r="351" ht="22" customHeight="1">
      <x:c r="A351" s="1" t="str">
        <x:v>310M700US41140</x:v>
      </x:c>
      <x:c r="B351" s="1" t="str">
        <x:v>41140</x:v>
      </x:c>
      <x:c r="C351" s="1" t="str">
        <x:v>St. Joseph, MO-KS Metro Area</x:v>
      </x:c>
      <x:c r="D351" s="5" t="n">
        <x:v>2024</x:v>
      </x:c>
      <x:c r="E351" s="1" t="str">
        <x:v>ok</x:v>
      </x:c>
      <x:c r="F351" s="15" t="n">
        <x:v>14370</x:v>
      </x:c>
      <x:c r="G351" s="15" t="n">
        <x:v>1370</x:v>
      </x:c>
      <x:c r="H351" s="15" t="n">
        <x:v>13000</x:v>
      </x:c>
      <x:c r="I351" s="15" t="n">
        <x:v>5951</x:v>
      </x:c>
      <x:c r="J351" s="15" t="n">
        <x:v>2359</x:v>
      </x:c>
      <x:c r="K351" s="15" t="n">
        <x:v>45.776923</x:v>
      </x:c>
      <x:c r="L351" s="15" t="n">
        <x:v>18.146154</x:v>
      </x:c>
      <x:c r="M351" s="15" t="n">
        <x:v>9.533751</x:v>
      </x:c>
      <x:c r="N351" s="15" t="n">
        <x:v>14370</x:v>
      </x:c>
      <x:c r="O351" s="15" t="n">
        <x:v>1708</x:v>
      </x:c>
      <x:c r="P351" s="15" t="n">
        <x:v>788</x:v>
      </x:c>
      <x:c r="Q351" s="15" t="n">
        <x:v>411</x:v>
      </x:c>
      <x:c r="R351" s="15" t="n">
        <x:v>2353</x:v>
      </x:c>
      <x:c r="S351" s="15" t="n">
        <x:v>902</x:v>
      </x:c>
      <x:c r="T351" s="15" t="n">
        <x:v>1333</x:v>
      </x:c>
      <x:c r="U351" s="15" t="n">
        <x:v>506</x:v>
      </x:c>
      <x:c r="V351" s="15" t="n">
        <x:v>1355</x:v>
      </x:c>
      <x:c r="W351" s="15" t="n">
        <x:v>652</x:v>
      </x:c>
      <x:c r="X351" s="15" t="n">
        <x:v>1220</x:v>
      </x:c>
      <x:c r="Y351" s="15" t="n">
        <x:v>537</x:v>
      </x:c>
      <x:c r="Z351" s="15" t="n">
        <x:v>2088</x:v>
      </x:c>
      <x:c r="AA351" s="15" t="n">
        <x:v>884</x:v>
      </x:c>
      <x:c r="AB351" s="15" t="n">
        <x:v>721</x:v>
      </x:c>
      <x:c r="AC351" s="15" t="n">
        <x:v>548</x:v>
      </x:c>
      <x:c r="AD351" s="15" t="n">
        <x:v>783</x:v>
      </x:c>
      <x:c r="AE351" s="15" t="n">
        <x:v>392</x:v>
      </x:c>
      <x:c r="AF351" s="15" t="n">
        <x:v>2359</x:v>
      </x:c>
      <x:c r="AG351" s="15" t="n">
        <x:v>858</x:v>
      </x:c>
      <x:c r="AH351" s="15" t="n">
        <x:v>1370</x:v>
      </x:c>
      <x:c r="AI351" s="15" t="n">
        <x:v>692</x:v>
      </x:c>
    </x:row>
    <x:row r="352" ht="22" customHeight="1">
      <x:c r="A352" s="1" t="str">
        <x:v>310M700US41180</x:v>
      </x:c>
      <x:c r="B352" s="1" t="str">
        <x:v>41180</x:v>
      </x:c>
      <x:c r="C352" s="1" t="str">
        <x:v>St. Louis, MO-IL Metro Area</x:v>
      </x:c>
      <x:c r="D352" s="5" t="n">
        <x:v>2024</x:v>
      </x:c>
      <x:c r="E352" s="1" t="str">
        <x:v>ok</x:v>
      </x:c>
      <x:c r="F352" s="15" t="n">
        <x:v>343934</x:v>
      </x:c>
      <x:c r="G352" s="15" t="n">
        <x:v>21891</x:v>
      </x:c>
      <x:c r="H352" s="15" t="n">
        <x:v>322043</x:v>
      </x:c>
      <x:c r="I352" s="15" t="n">
        <x:v>147543</x:v>
      </x:c>
      <x:c r="J352" s="15" t="n">
        <x:v>75763</x:v>
      </x:c>
      <x:c r="K352" s="15" t="n">
        <x:v>45.814689</x:v>
      </x:c>
      <x:c r="L352" s="15" t="n">
        <x:v>23.52574</x:v>
      </x:c>
      <x:c r="M352" s="15" t="n">
        <x:v>6.364884</x:v>
      </x:c>
      <x:c r="N352" s="15" t="n">
        <x:v>343934</x:v>
      </x:c>
      <x:c r="O352" s="15" t="n">
        <x:v>8362</x:v>
      </x:c>
      <x:c r="P352" s="15" t="n">
        <x:v>14311</x:v>
      </x:c>
      <x:c r="Q352" s="15" t="n">
        <x:v>2214</x:v>
      </x:c>
      <x:c r="R352" s="15" t="n">
        <x:v>33254</x:v>
      </x:c>
      <x:c r="S352" s="15" t="n">
        <x:v>3903</x:v>
      </x:c>
      <x:c r="T352" s="15" t="n">
        <x:v>45000</x:v>
      </x:c>
      <x:c r="U352" s="15" t="n">
        <x:v>4412</x:v>
      </x:c>
      <x:c r="V352" s="15" t="n">
        <x:v>47557</x:v>
      </x:c>
      <x:c r="W352" s="15" t="n">
        <x:v>4727</x:v>
      </x:c>
      <x:c r="X352" s="15" t="n">
        <x:v>34378</x:v>
      </x:c>
      <x:c r="Y352" s="15" t="n">
        <x:v>3329</x:v>
      </x:c>
      <x:c r="Z352" s="15" t="n">
        <x:v>25443</x:v>
      </x:c>
      <x:c r="AA352" s="15" t="n">
        <x:v>3182</x:v>
      </x:c>
      <x:c r="AB352" s="15" t="n">
        <x:v>19790</x:v>
      </x:c>
      <x:c r="AC352" s="15" t="n">
        <x:v>3166</x:v>
      </x:c>
      <x:c r="AD352" s="15" t="n">
        <x:v>26547</x:v>
      </x:c>
      <x:c r="AE352" s="15" t="n">
        <x:v>3761</x:v>
      </x:c>
      <x:c r="AF352" s="15" t="n">
        <x:v>75763</x:v>
      </x:c>
      <x:c r="AG352" s="15" t="n">
        <x:v>6386</x:v>
      </x:c>
      <x:c r="AH352" s="15" t="n">
        <x:v>21891</x:v>
      </x:c>
      <x:c r="AI352" s="15" t="n">
        <x:v>3156</x:v>
      </x:c>
    </x:row>
    <x:row r="353" ht="22" customHeight="1">
      <x:c r="A353" s="1" t="str">
        <x:v>310M700US44300</x:v>
      </x:c>
      <x:c r="B353" s="1" t="str">
        <x:v>44300</x:v>
      </x:c>
      <x:c r="C353" s="1" t="str">
        <x:v>State College, PA Metro Area</x:v>
      </x:c>
      <x:c r="D353" s="5" t="n">
        <x:v>2024</x:v>
      </x:c>
      <x:c r="E353" s="1" t="str">
        <x:v>ok</x:v>
      </x:c>
      <x:c r="F353" s="15" t="n">
        <x:v>21181</x:v>
      </x:c>
      <x:c r="G353" s="15" t="n">
        <x:v>2469</x:v>
      </x:c>
      <x:c r="H353" s="15" t="n">
        <x:v>18712</x:v>
      </x:c>
      <x:c r="I353" s="15" t="n">
        <x:v>10763</x:v>
      </x:c>
      <x:c r="J353" s="15" t="n">
        <x:v>5513</x:v>
      </x:c>
      <x:c r="K353" s="15" t="n">
        <x:v>57.519239</x:v>
      </x:c>
      <x:c r="L353" s="15" t="n">
        <x:v>29.462377</x:v>
      </x:c>
      <x:c r="M353" s="15" t="n">
        <x:v>11.656673</x:v>
      </x:c>
      <x:c r="N353" s="15" t="n">
        <x:v>21181</x:v>
      </x:c>
      <x:c r="O353" s="15" t="n">
        <x:v>1779</x:v>
      </x:c>
      <x:c r="P353" s="15" t="n">
        <x:v>1197</x:v>
      </x:c>
      <x:c r="Q353" s="15" t="n">
        <x:v>561</x:v>
      </x:c>
      <x:c r="R353" s="15" t="n">
        <x:v>984</x:v>
      </x:c>
      <x:c r="S353" s="15" t="n">
        <x:v>553</x:v>
      </x:c>
      <x:c r="T353" s="15" t="n">
        <x:v>1940</x:v>
      </x:c>
      <x:c r="U353" s="15" t="n">
        <x:v>681</x:v>
      </x:c>
      <x:c r="V353" s="15" t="n">
        <x:v>1881</x:v>
      </x:c>
      <x:c r="W353" s="15" t="n">
        <x:v>729</x:v>
      </x:c>
      <x:c r="X353" s="15" t="n">
        <x:v>1947</x:v>
      </x:c>
      <x:c r="Y353" s="15" t="n">
        <x:v>825</x:v>
      </x:c>
      <x:c r="Z353" s="15" t="n">
        <x:v>1833</x:v>
      </x:c>
      <x:c r="AA353" s="15" t="n">
        <x:v>814</x:v>
      </x:c>
      <x:c r="AB353" s="15" t="n">
        <x:v>1269</x:v>
      </x:c>
      <x:c r="AC353" s="15" t="n">
        <x:v>578</x:v>
      </x:c>
      <x:c r="AD353" s="15" t="n">
        <x:v>2148</x:v>
      </x:c>
      <x:c r="AE353" s="15" t="n">
        <x:v>837</x:v>
      </x:c>
      <x:c r="AF353" s="15" t="n">
        <x:v>5513</x:v>
      </x:c>
      <x:c r="AG353" s="15" t="n">
        <x:v>1696</x:v>
      </x:c>
      <x:c r="AH353" s="15" t="n">
        <x:v>2469</x:v>
      </x:c>
      <x:c r="AI353" s="15" t="n">
        <x:v>1183</x:v>
      </x:c>
    </x:row>
    <x:row r="354" ht="22" customHeight="1">
      <x:c r="A354" s="1" t="str">
        <x:v>310M700US44420</x:v>
      </x:c>
      <x:c r="B354" s="1" t="str">
        <x:v>44420</x:v>
      </x:c>
      <x:c r="C354" s="1" t="str">
        <x:v>Staunton-Stuarts Draft, VA Metro Area</x:v>
      </x:c>
      <x:c r="D354" s="5" t="n">
        <x:v>2024</x:v>
      </x:c>
      <x:c r="E354" s="1" t="str">
        <x:v>ok</x:v>
      </x:c>
      <x:c r="F354" s="15" t="n">
        <x:v>13697</x:v>
      </x:c>
      <x:c r="G354" s="15" t="n">
        <x:v>454</x:v>
      </x:c>
      <x:c r="H354" s="15" t="n">
        <x:v>13243</x:v>
      </x:c>
      <x:c r="I354" s="15" t="n">
        <x:v>6066</x:v>
      </x:c>
      <x:c r="J354" s="15" t="n">
        <x:v>2926</x:v>
      </x:c>
      <x:c r="K354" s="15" t="n">
        <x:v>45.805331</x:v>
      </x:c>
      <x:c r="L354" s="15" t="n">
        <x:v>22.094692</x:v>
      </x:c>
      <x:c r="M354" s="15" t="n">
        <x:v>3.314594</x:v>
      </x:c>
      <x:c r="N354" s="15" t="n">
        <x:v>13697</x:v>
      </x:c>
      <x:c r="O354" s="15" t="n">
        <x:v>1956</x:v>
      </x:c>
      <x:c r="P354" s="15" t="n">
        <x:v>180</x:v>
      </x:c>
      <x:c r="Q354" s="15" t="n">
        <x:v>241</x:v>
      </x:c>
      <x:c r="R354" s="15" t="n">
        <x:v>1385</x:v>
      </x:c>
      <x:c r="S354" s="15" t="n">
        <x:v>798</x:v>
      </x:c>
      <x:c r="T354" s="15" t="n">
        <x:v>1445</x:v>
      </x:c>
      <x:c r="U354" s="15" t="n">
        <x:v>694</x:v>
      </x:c>
      <x:c r="V354" s="15" t="n">
        <x:v>1692</x:v>
      </x:c>
      <x:c r="W354" s="15" t="n">
        <x:v>932</x:v>
      </x:c>
      <x:c r="X354" s="15" t="n">
        <x:v>2475</x:v>
      </x:c>
      <x:c r="Y354" s="15" t="n">
        <x:v>1107</x:v>
      </x:c>
      <x:c r="Z354" s="15" t="n">
        <x:v>922</x:v>
      </x:c>
      <x:c r="AA354" s="15" t="n">
        <x:v>495</x:v>
      </x:c>
      <x:c r="AB354" s="15" t="n">
        <x:v>1181</x:v>
      </x:c>
      <x:c r="AC354" s="15" t="n">
        <x:v>700</x:v>
      </x:c>
      <x:c r="AD354" s="15" t="n">
        <x:v>1037</x:v>
      </x:c>
      <x:c r="AE354" s="15" t="n">
        <x:v>612</x:v>
      </x:c>
      <x:c r="AF354" s="15" t="n">
        <x:v>2926</x:v>
      </x:c>
      <x:c r="AG354" s="15" t="n">
        <x:v>1415</x:v>
      </x:c>
      <x:c r="AH354" s="15" t="n">
        <x:v>454</x:v>
      </x:c>
      <x:c r="AI354" s="15" t="n">
        <x:v>293</x:v>
      </x:c>
    </x:row>
    <x:row r="355" ht="22" customHeight="1">
      <x:c r="A355" s="1" t="str">
        <x:v>310M700US44700</x:v>
      </x:c>
      <x:c r="B355" s="1" t="str">
        <x:v>44700</x:v>
      </x:c>
      <x:c r="C355" s="1" t="str">
        <x:v>Stockton-Lodi, CA Metro Area</x:v>
      </x:c>
      <x:c r="D355" s="5" t="n">
        <x:v>2024</x:v>
      </x:c>
      <x:c r="E355" s="1" t="str">
        <x:v>ok</x:v>
      </x:c>
      <x:c r="F355" s="15" t="n">
        <x:v>95988</x:v>
      </x:c>
      <x:c r="G355" s="15" t="n">
        <x:v>6159</x:v>
      </x:c>
      <x:c r="H355" s="15" t="n">
        <x:v>89829</x:v>
      </x:c>
      <x:c r="I355" s="15" t="n">
        <x:v>48292</x:v>
      </x:c>
      <x:c r="J355" s="15" t="n">
        <x:v>24317</x:v>
      </x:c>
      <x:c r="K355" s="15" t="n">
        <x:v>53.759922</x:v>
      </x:c>
      <x:c r="L355" s="15" t="n">
        <x:v>27.070323</x:v>
      </x:c>
      <x:c r="M355" s="15" t="n">
        <x:v>6.416427</x:v>
      </x:c>
      <x:c r="N355" s="15" t="n">
        <x:v>95988</x:v>
      </x:c>
      <x:c r="O355" s="15" t="n">
        <x:v>4727</x:v>
      </x:c>
      <x:c r="P355" s="15" t="n">
        <x:v>2286</x:v>
      </x:c>
      <x:c r="Q355" s="15" t="n">
        <x:v>925</x:v>
      </x:c>
      <x:c r="R355" s="15" t="n">
        <x:v>5970</x:v>
      </x:c>
      <x:c r="S355" s="15" t="n">
        <x:v>1512</x:v>
      </x:c>
      <x:c r="T355" s="15" t="n">
        <x:v>9989</x:v>
      </x:c>
      <x:c r="U355" s="15" t="n">
        <x:v>1937</x:v>
      </x:c>
      <x:c r="V355" s="15" t="n">
        <x:v>11094</x:v>
      </x:c>
      <x:c r="W355" s="15" t="n">
        <x:v>2127</x:v>
      </x:c>
      <x:c r="X355" s="15" t="n">
        <x:v>12198</x:v>
      </x:c>
      <x:c r="Y355" s="15" t="n">
        <x:v>2105</x:v>
      </x:c>
      <x:c r="Z355" s="15" t="n">
        <x:v>8017</x:v>
      </x:c>
      <x:c r="AA355" s="15" t="n">
        <x:v>1634</x:v>
      </x:c>
      <x:c r="AB355" s="15" t="n">
        <x:v>5153</x:v>
      </x:c>
      <x:c r="AC355" s="15" t="n">
        <x:v>1312</x:v>
      </x:c>
      <x:c r="AD355" s="15" t="n">
        <x:v>10805</x:v>
      </x:c>
      <x:c r="AE355" s="15" t="n">
        <x:v>2138</x:v>
      </x:c>
      <x:c r="AF355" s="15" t="n">
        <x:v>24317</x:v>
      </x:c>
      <x:c r="AG355" s="15" t="n">
        <x:v>2714</x:v>
      </x:c>
      <x:c r="AH355" s="15" t="n">
        <x:v>6159</x:v>
      </x:c>
      <x:c r="AI355" s="15" t="n">
        <x:v>1596</x:v>
      </x:c>
    </x:row>
    <x:row r="356" ht="22" customHeight="1">
      <x:c r="A356" s="1" t="str">
        <x:v>310M700US44940</x:v>
      </x:c>
      <x:c r="B356" s="1" t="str">
        <x:v>44940</x:v>
      </x:c>
      <x:c r="C356" s="1" t="str">
        <x:v>Sumter, SC Metro Area</x:v>
      </x:c>
      <x:c r="D356" s="5" t="n">
        <x:v>2024</x:v>
      </x:c>
      <x:c r="E356" s="1" t="str">
        <x:v>ok</x:v>
      </x:c>
      <x:c r="F356" s="15" t="n">
        <x:v>12196</x:v>
      </x:c>
      <x:c r="G356" s="15" t="n">
        <x:v>1527</x:v>
      </x:c>
      <x:c r="H356" s="15" t="n">
        <x:v>10669</x:v>
      </x:c>
      <x:c r="I356" s="15" t="n">
        <x:v>5233</x:v>
      </x:c>
      <x:c r="J356" s="15" t="n">
        <x:v>1916</x:v>
      </x:c>
      <x:c r="K356" s="15" t="n">
        <x:v>49.048646</x:v>
      </x:c>
      <x:c r="L356" s="15" t="n">
        <x:v>17.958572</x:v>
      </x:c>
      <x:c r="M356" s="15" t="n">
        <x:v>12.520499</x:v>
      </x:c>
      <x:c r="N356" s="15" t="n">
        <x:v>12196</x:v>
      </x:c>
      <x:c r="O356" s="15" t="n">
        <x:v>1906</x:v>
      </x:c>
      <x:c r="P356" s="15" t="n">
        <x:v>294</x:v>
      </x:c>
      <x:c r="Q356" s="15" t="n">
        <x:v>296</x:v>
      </x:c>
      <x:c r="R356" s="15" t="n">
        <x:v>706</x:v>
      </x:c>
      <x:c r="S356" s="15" t="n">
        <x:v>778</x:v>
      </x:c>
      <x:c r="T356" s="15" t="n">
        <x:v>1199</x:v>
      </x:c>
      <x:c r="U356" s="15" t="n">
        <x:v>707</x:v>
      </x:c>
      <x:c r="V356" s="15" t="n">
        <x:v>1705</x:v>
      </x:c>
      <x:c r="W356" s="15" t="n">
        <x:v>886</x:v>
      </x:c>
      <x:c r="X356" s="15" t="n">
        <x:v>1532</x:v>
      </x:c>
      <x:c r="Y356" s="15" t="n">
        <x:v>804</x:v>
      </x:c>
      <x:c r="Z356" s="15" t="n">
        <x:v>821</x:v>
      </x:c>
      <x:c r="AA356" s="15" t="n">
        <x:v>555</x:v>
      </x:c>
      <x:c r="AB356" s="15" t="n">
        <x:v>1215</x:v>
      </x:c>
      <x:c r="AC356" s="15" t="n">
        <x:v>820</x:v>
      </x:c>
      <x:c r="AD356" s="15" t="n">
        <x:v>1281</x:v>
      </x:c>
      <x:c r="AE356" s="15" t="n">
        <x:v>868</x:v>
      </x:c>
      <x:c r="AF356" s="15" t="n">
        <x:v>1916</x:v>
      </x:c>
      <x:c r="AG356" s="15" t="n">
        <x:v>812</x:v>
      </x:c>
      <x:c r="AH356" s="15" t="n">
        <x:v>1527</x:v>
      </x:c>
      <x:c r="AI356" s="15" t="n">
        <x:v>706</x:v>
      </x:c>
    </x:row>
    <x:row r="357" ht="22" customHeight="1">
      <x:c r="A357" s="1" t="str">
        <x:v>310M700US45060</x:v>
      </x:c>
      <x:c r="B357" s="1" t="str">
        <x:v>45060</x:v>
      </x:c>
      <x:c r="C357" s="1" t="str">
        <x:v>Syracuse, NY Metro Area</x:v>
      </x:c>
      <x:c r="D357" s="5" t="n">
        <x:v>2024</x:v>
      </x:c>
      <x:c r="E357" s="1" t="str">
        <x:v>ok</x:v>
      </x:c>
      <x:c r="F357" s="15" t="n">
        <x:v>86094</x:v>
      </x:c>
      <x:c r="G357" s="15" t="n">
        <x:v>7240</x:v>
      </x:c>
      <x:c r="H357" s="15" t="n">
        <x:v>78854</x:v>
      </x:c>
      <x:c r="I357" s="15" t="n">
        <x:v>39309</x:v>
      </x:c>
      <x:c r="J357" s="15" t="n">
        <x:v>21923</x:v>
      </x:c>
      <x:c r="K357" s="15" t="n">
        <x:v>49.850356</x:v>
      </x:c>
      <x:c r="L357" s="15" t="n">
        <x:v>27.802014</x:v>
      </x:c>
      <x:c r="M357" s="15" t="n">
        <x:v>8.409413</x:v>
      </x:c>
      <x:c r="N357" s="15" t="n">
        <x:v>86094</x:v>
      </x:c>
      <x:c r="O357" s="15" t="n">
        <x:v>3785</x:v>
      </x:c>
      <x:c r="P357" s="15" t="n">
        <x:v>3895</x:v>
      </x:c>
      <x:c r="Q357" s="15" t="n">
        <x:v>1220</x:v>
      </x:c>
      <x:c r="R357" s="15" t="n">
        <x:v>7079</x:v>
      </x:c>
      <x:c r="S357" s="15" t="n">
        <x:v>1405</x:v>
      </x:c>
      <x:c r="T357" s="15" t="n">
        <x:v>8938</x:v>
      </x:c>
      <x:c r="U357" s="15" t="n">
        <x:v>1606</x:v>
      </x:c>
      <x:c r="V357" s="15" t="n">
        <x:v>8784</x:v>
      </x:c>
      <x:c r="W357" s="15" t="n">
        <x:v>1504</x:v>
      </x:c>
      <x:c r="X357" s="15" t="n">
        <x:v>10849</x:v>
      </x:c>
      <x:c r="Y357" s="15" t="n">
        <x:v>1896</x:v>
      </x:c>
      <x:c r="Z357" s="15" t="n">
        <x:v>7803</x:v>
      </x:c>
      <x:c r="AA357" s="15" t="n">
        <x:v>1388</x:v>
      </x:c>
      <x:c r="AB357" s="15" t="n">
        <x:v>3952</x:v>
      </x:c>
      <x:c r="AC357" s="15" t="n">
        <x:v>1010</x:v>
      </x:c>
      <x:c r="AD357" s="15" t="n">
        <x:v>5631</x:v>
      </x:c>
      <x:c r="AE357" s="15" t="n">
        <x:v>1478</x:v>
      </x:c>
      <x:c r="AF357" s="15" t="n">
        <x:v>21923</x:v>
      </x:c>
      <x:c r="AG357" s="15" t="n">
        <x:v>2961</x:v>
      </x:c>
      <x:c r="AH357" s="15" t="n">
        <x:v>7240</x:v>
      </x:c>
      <x:c r="AI357" s="15" t="n">
        <x:v>1588</x:v>
      </x:c>
    </x:row>
    <x:row r="358" ht="22" customHeight="1">
      <x:c r="A358" s="1" t="str">
        <x:v>310M700US45220</x:v>
      </x:c>
      <x:c r="B358" s="1" t="str">
        <x:v>45220</x:v>
      </x:c>
      <x:c r="C358" s="1" t="str">
        <x:v>Tallahassee, FL Metro Area</x:v>
      </x:c>
      <x:c r="D358" s="5" t="n">
        <x:v>2024</x:v>
      </x:c>
      <x:c r="E358" s="1" t="str">
        <x:v>ok</x:v>
      </x:c>
      <x:c r="F358" s="15" t="n">
        <x:v>68237</x:v>
      </x:c>
      <x:c r="G358" s="15" t="n">
        <x:v>7226</x:v>
      </x:c>
      <x:c r="H358" s="15" t="n">
        <x:v>61011</x:v>
      </x:c>
      <x:c r="I358" s="15" t="n">
        <x:v>37371</x:v>
      </x:c>
      <x:c r="J358" s="15" t="n">
        <x:v>22619</x:v>
      </x:c>
      <x:c r="K358" s="15" t="n">
        <x:v>61.252889</x:v>
      </x:c>
      <x:c r="L358" s="15" t="n">
        <x:v>37.073642</x:v>
      </x:c>
      <x:c r="M358" s="15" t="n">
        <x:v>10.589563</x:v>
      </x:c>
      <x:c r="N358" s="15" t="n">
        <x:v>68237</x:v>
      </x:c>
      <x:c r="O358" s="15" t="n">
        <x:v>3538</x:v>
      </x:c>
      <x:c r="P358" s="15" t="n">
        <x:v>1042</x:v>
      </x:c>
      <x:c r="Q358" s="15" t="n">
        <x:v>501</x:v>
      </x:c>
      <x:c r="R358" s="15" t="n">
        <x:v>3781</x:v>
      </x:c>
      <x:c r="S358" s="15" t="n">
        <x:v>1326</x:v>
      </x:c>
      <x:c r="T358" s="15" t="n">
        <x:v>4659</x:v>
      </x:c>
      <x:c r="U358" s="15" t="n">
        <x:v>1457</x:v>
      </x:c>
      <x:c r="V358" s="15" t="n">
        <x:v>6806</x:v>
      </x:c>
      <x:c r="W358" s="15" t="n">
        <x:v>1791</x:v>
      </x:c>
      <x:c r="X358" s="15" t="n">
        <x:v>7352</x:v>
      </x:c>
      <x:c r="Y358" s="15" t="n">
        <x:v>1883</x:v>
      </x:c>
      <x:c r="Z358" s="15" t="n">
        <x:v>5911</x:v>
      </x:c>
      <x:c r="AA358" s="15" t="n">
        <x:v>1609</x:v>
      </x:c>
      <x:c r="AB358" s="15" t="n">
        <x:v>3776</x:v>
      </x:c>
      <x:c r="AC358" s="15" t="n">
        <x:v>1335</x:v>
      </x:c>
      <x:c r="AD358" s="15" t="n">
        <x:v>5065</x:v>
      </x:c>
      <x:c r="AE358" s="15" t="n">
        <x:v>1690</x:v>
      </x:c>
      <x:c r="AF358" s="15" t="n">
        <x:v>22619</x:v>
      </x:c>
      <x:c r="AG358" s="15" t="n">
        <x:v>2985</x:v>
      </x:c>
      <x:c r="AH358" s="15" t="n">
        <x:v>7226</x:v>
      </x:c>
      <x:c r="AI358" s="15" t="n">
        <x:v>1842</x:v>
      </x:c>
    </x:row>
    <x:row r="359" ht="22" customHeight="1">
      <x:c r="A359" s="1" t="str">
        <x:v>310M700US45300</x:v>
      </x:c>
      <x:c r="B359" s="1" t="str">
        <x:v>45300</x:v>
      </x:c>
      <x:c r="C359" s="1" t="str">
        <x:v>Tampa-St. Petersburg-Clearwater, FL Metro Area</x:v>
      </x:c>
      <x:c r="D359" s="5" t="n">
        <x:v>2024</x:v>
      </x:c>
      <x:c r="E359" s="1" t="str">
        <x:v>ok</x:v>
      </x:c>
      <x:c r="F359" s="15" t="n">
        <x:v>440810</x:v>
      </x:c>
      <x:c r="G359" s="15" t="n">
        <x:v>24561</x:v>
      </x:c>
      <x:c r="H359" s="15" t="n">
        <x:v>416249</x:v>
      </x:c>
      <x:c r="I359" s="15" t="n">
        <x:v>254914</x:v>
      </x:c>
      <x:c r="J359" s="15" t="n">
        <x:v>127370</x:v>
      </x:c>
      <x:c r="K359" s="15" t="n">
        <x:v>61.240748</x:v>
      </x:c>
      <x:c r="L359" s="15" t="n">
        <x:v>30.599473</x:v>
      </x:c>
      <x:c r="M359" s="15" t="n">
        <x:v>5.571788</x:v>
      </x:c>
      <x:c r="N359" s="15" t="n">
        <x:v>440810</x:v>
      </x:c>
      <x:c r="O359" s="15" t="n">
        <x:v>10951</x:v>
      </x:c>
      <x:c r="P359" s="15" t="n">
        <x:v>8872</x:v>
      </x:c>
      <x:c r="Q359" s="15" t="n">
        <x:v>2238</x:v>
      </x:c>
      <x:c r="R359" s="15" t="n">
        <x:v>19147</x:v>
      </x:c>
      <x:c r="S359" s="15" t="n">
        <x:v>2725</x:v>
      </x:c>
      <x:c r="T359" s="15" t="n">
        <x:v>36033</x:v>
      </x:c>
      <x:c r="U359" s="15" t="n">
        <x:v>3967</x:v>
      </x:c>
      <x:c r="V359" s="15" t="n">
        <x:v>49861</x:v>
      </x:c>
      <x:c r="W359" s="15" t="n">
        <x:v>4948</x:v>
      </x:c>
      <x:c r="X359" s="15" t="n">
        <x:v>47422</x:v>
      </x:c>
      <x:c r="Y359" s="15" t="n">
        <x:v>5701</x:v>
      </x:c>
      <x:c r="Z359" s="15" t="n">
        <x:v>42997</x:v>
      </x:c>
      <x:c r="AA359" s="15" t="n">
        <x:v>4129</x:v>
      </x:c>
      <x:c r="AB359" s="15" t="n">
        <x:v>30717</x:v>
      </x:c>
      <x:c r="AC359" s="15" t="n">
        <x:v>3562</x:v>
      </x:c>
      <x:c r="AD359" s="15" t="n">
        <x:v>53830</x:v>
      </x:c>
      <x:c r="AE359" s="15" t="n">
        <x:v>5171</x:v>
      </x:c>
      <x:c r="AF359" s="15" t="n">
        <x:v>127370</x:v>
      </x:c>
      <x:c r="AG359" s="15" t="n">
        <x:v>7233</x:v>
      </x:c>
      <x:c r="AH359" s="15" t="n">
        <x:v>24561</x:v>
      </x:c>
      <x:c r="AI359" s="15" t="n">
        <x:v>3529</x:v>
      </x:c>
    </x:row>
    <x:row r="360" ht="22" customHeight="1">
      <x:c r="A360" s="1" t="str">
        <x:v>310M700US45460</x:v>
      </x:c>
      <x:c r="B360" s="1" t="str">
        <x:v>45460</x:v>
      </x:c>
      <x:c r="C360" s="1" t="str">
        <x:v>Terre Haute, IN Metro Area</x:v>
      </x:c>
      <x:c r="D360" s="5" t="n">
        <x:v>2024</x:v>
      </x:c>
      <x:c r="E360" s="1" t="str">
        <x:v>ok</x:v>
      </x:c>
      <x:c r="F360" s="15" t="n">
        <x:v>20739</x:v>
      </x:c>
      <x:c r="G360" s="15" t="n">
        <x:v>1945</x:v>
      </x:c>
      <x:c r="H360" s="15" t="n">
        <x:v>18794</x:v>
      </x:c>
      <x:c r="I360" s="15" t="n">
        <x:v>9911</x:v>
      </x:c>
      <x:c r="J360" s="15" t="n">
        <x:v>4953</x:v>
      </x:c>
      <x:c r="K360" s="15" t="n">
        <x:v>52.734915</x:v>
      </x:c>
      <x:c r="L360" s="15" t="n">
        <x:v>26.354156</x:v>
      </x:c>
      <x:c r="M360" s="15" t="n">
        <x:v>9.378466</x:v>
      </x:c>
      <x:c r="N360" s="15" t="n">
        <x:v>20739</x:v>
      </x:c>
      <x:c r="O360" s="15" t="n">
        <x:v>1937</x:v>
      </x:c>
      <x:c r="P360" s="15" t="n">
        <x:v>1061</x:v>
      </x:c>
      <x:c r="Q360" s="15" t="n">
        <x:v>635</x:v>
      </x:c>
      <x:c r="R360" s="15" t="n">
        <x:v>903</x:v>
      </x:c>
      <x:c r="S360" s="15" t="n">
        <x:v>397</x:v>
      </x:c>
      <x:c r="T360" s="15" t="n">
        <x:v>2179</x:v>
      </x:c>
      <x:c r="U360" s="15" t="n">
        <x:v>791</x:v>
      </x:c>
      <x:c r="V360" s="15" t="n">
        <x:v>2840</x:v>
      </x:c>
      <x:c r="W360" s="15" t="n">
        <x:v>790</x:v>
      </x:c>
      <x:c r="X360" s="15" t="n">
        <x:v>1900</x:v>
      </x:c>
      <x:c r="Y360" s="15" t="n">
        <x:v>736</x:v>
      </x:c>
      <x:c r="Z360" s="15" t="n">
        <x:v>2190</x:v>
      </x:c>
      <x:c r="AA360" s="15" t="n">
        <x:v>765</x:v>
      </x:c>
      <x:c r="AB360" s="15" t="n">
        <x:v>723</x:v>
      </x:c>
      <x:c r="AC360" s="15" t="n">
        <x:v>318</x:v>
      </x:c>
      <x:c r="AD360" s="15" t="n">
        <x:v>2045</x:v>
      </x:c>
      <x:c r="AE360" s="15" t="n">
        <x:v>945</x:v>
      </x:c>
      <x:c r="AF360" s="15" t="n">
        <x:v>4953</x:v>
      </x:c>
      <x:c r="AG360" s="15" t="n">
        <x:v>1219</x:v>
      </x:c>
      <x:c r="AH360" s="15" t="n">
        <x:v>1945</x:v>
      </x:c>
      <x:c r="AI360" s="15" t="n">
        <x:v>866</x:v>
      </x:c>
    </x:row>
    <x:row r="361" ht="22" customHeight="1">
      <x:c r="A361" s="1" t="str">
        <x:v>310M700US45500</x:v>
      </x:c>
      <x:c r="B361" s="1" t="str">
        <x:v>45500</x:v>
      </x:c>
      <x:c r="C361" s="1" t="str">
        <x:v>Texarkana, TX-AR Metro Area</x:v>
      </x:c>
      <x:c r="D361" s="5" t="n">
        <x:v>2024</x:v>
      </x:c>
      <x:c r="E361" s="1" t="str">
        <x:v>ok</x:v>
      </x:c>
      <x:c r="F361" s="15" t="n">
        <x:v>22151</x:v>
      </x:c>
      <x:c r="G361" s="15" t="n">
        <x:v>3551</x:v>
      </x:c>
      <x:c r="H361" s="15" t="n">
        <x:v>18600</x:v>
      </x:c>
      <x:c r="I361" s="15" t="n">
        <x:v>7896</x:v>
      </x:c>
      <x:c r="J361" s="15" t="n">
        <x:v>3640</x:v>
      </x:c>
      <x:c r="K361" s="15" t="n">
        <x:v>42.451613</x:v>
      </x:c>
      <x:c r="L361" s="15" t="n">
        <x:v>19.569892</x:v>
      </x:c>
      <x:c r="M361" s="15" t="n">
        <x:v>16.030879</x:v>
      </x:c>
      <x:c r="N361" s="15" t="n">
        <x:v>22151</x:v>
      </x:c>
      <x:c r="O361" s="15" t="n">
        <x:v>1861</x:v>
      </x:c>
      <x:c r="P361" s="15" t="n">
        <x:v>1063</x:v>
      </x:c>
      <x:c r="Q361" s="15" t="n">
        <x:v>726</x:v>
      </x:c>
      <x:c r="R361" s="15" t="n">
        <x:v>1980</x:v>
      </x:c>
      <x:c r="S361" s="15" t="n">
        <x:v>1001</x:v>
      </x:c>
      <x:c r="T361" s="15" t="n">
        <x:v>2262</x:v>
      </x:c>
      <x:c r="U361" s="15" t="n">
        <x:v>1012</x:v>
      </x:c>
      <x:c r="V361" s="15" t="n">
        <x:v>3769</x:v>
      </x:c>
      <x:c r="W361" s="15" t="n">
        <x:v>1303</x:v>
      </x:c>
      <x:c r="X361" s="15" t="n">
        <x:v>1630</x:v>
      </x:c>
      <x:c r="Y361" s="15" t="n">
        <x:v>664</x:v>
      </x:c>
      <x:c r="Z361" s="15" t="n">
        <x:v>1654</x:v>
      </x:c>
      <x:c r="AA361" s="15" t="n">
        <x:v>783</x:v>
      </x:c>
      <x:c r="AB361" s="15" t="n">
        <x:v>1156</x:v>
      </x:c>
      <x:c r="AC361" s="15" t="n">
        <x:v>603</x:v>
      </x:c>
      <x:c r="AD361" s="15" t="n">
        <x:v>1446</x:v>
      </x:c>
      <x:c r="AE361" s="15" t="n">
        <x:v>579</x:v>
      </x:c>
      <x:c r="AF361" s="15" t="n">
        <x:v>3640</x:v>
      </x:c>
      <x:c r="AG361" s="15" t="n">
        <x:v>969</x:v>
      </x:c>
      <x:c r="AH361" s="15" t="n">
        <x:v>3551</x:v>
      </x:c>
      <x:c r="AI361" s="15" t="n">
        <x:v>1174</x:v>
      </x:c>
    </x:row>
    <x:row r="362" ht="22" customHeight="1">
      <x:c r="A362" s="1" t="str">
        <x:v>310M700US45780</x:v>
      </x:c>
      <x:c r="B362" s="1" t="str">
        <x:v>45780</x:v>
      </x:c>
      <x:c r="C362" s="1" t="str">
        <x:v>Toledo, OH Metro Area</x:v>
      </x:c>
      <x:c r="D362" s="5" t="n">
        <x:v>2024</x:v>
      </x:c>
      <x:c r="E362" s="1" t="str">
        <x:v>ok</x:v>
      </x:c>
      <x:c r="F362" s="15" t="n">
        <x:v>93824</x:v>
      </x:c>
      <x:c r="G362" s="15" t="n">
        <x:v>5817</x:v>
      </x:c>
      <x:c r="H362" s="15" t="n">
        <x:v>88007</x:v>
      </x:c>
      <x:c r="I362" s="15" t="n">
        <x:v>40560</x:v>
      </x:c>
      <x:c r="J362" s="15" t="n">
        <x:v>20353</x:v>
      </x:c>
      <x:c r="K362" s="15" t="n">
        <x:v>46.087243</x:v>
      </x:c>
      <x:c r="L362" s="15" t="n">
        <x:v>23.126569</x:v>
      </x:c>
      <x:c r="M362" s="15" t="n">
        <x:v>6.199906</x:v>
      </x:c>
      <x:c r="N362" s="15" t="n">
        <x:v>93824</x:v>
      </x:c>
      <x:c r="O362" s="15" t="n">
        <x:v>4143</x:v>
      </x:c>
      <x:c r="P362" s="15" t="n">
        <x:v>5141</x:v>
      </x:c>
      <x:c r="Q362" s="15" t="n">
        <x:v>1452</x:v>
      </x:c>
      <x:c r="R362" s="15" t="n">
        <x:v>9840</x:v>
      </x:c>
      <x:c r="S362" s="15" t="n">
        <x:v>1741</x:v>
      </x:c>
      <x:c r="T362" s="15" t="n">
        <x:v>12303</x:v>
      </x:c>
      <x:c r="U362" s="15" t="n">
        <x:v>2298</x:v>
      </x:c>
      <x:c r="V362" s="15" t="n">
        <x:v>9501</x:v>
      </x:c>
      <x:c r="W362" s="15" t="n">
        <x:v>1779</x:v>
      </x:c>
      <x:c r="X362" s="15" t="n">
        <x:v>10662</x:v>
      </x:c>
      <x:c r="Y362" s="15" t="n">
        <x:v>2126</x:v>
      </x:c>
      <x:c r="Z362" s="15" t="n">
        <x:v>8860</x:v>
      </x:c>
      <x:c r="AA362" s="15" t="n">
        <x:v>1903</x:v>
      </x:c>
      <x:c r="AB362" s="15" t="n">
        <x:v>4757</x:v>
      </x:c>
      <x:c r="AC362" s="15" t="n">
        <x:v>1454</x:v>
      </x:c>
      <x:c r="AD362" s="15" t="n">
        <x:v>6590</x:v>
      </x:c>
      <x:c r="AE362" s="15" t="n">
        <x:v>1442</x:v>
      </x:c>
      <x:c r="AF362" s="15" t="n">
        <x:v>20353</x:v>
      </x:c>
      <x:c r="AG362" s="15" t="n">
        <x:v>2404</x:v>
      </x:c>
      <x:c r="AH362" s="15" t="n">
        <x:v>5817</x:v>
      </x:c>
      <x:c r="AI362" s="15" t="n">
        <x:v>1404</x:v>
      </x:c>
    </x:row>
    <x:row r="363" ht="22" customHeight="1">
      <x:c r="A363" s="1" t="str">
        <x:v>310M700US45820</x:v>
      </x:c>
      <x:c r="B363" s="1" t="str">
        <x:v>45820</x:v>
      </x:c>
      <x:c r="C363" s="1" t="str">
        <x:v>Topeka, KS Metro Area</x:v>
      </x:c>
      <x:c r="D363" s="5" t="n">
        <x:v>2024</x:v>
      </x:c>
      <x:c r="E363" s="1" t="str">
        <x:v>ok</x:v>
      </x:c>
      <x:c r="F363" s="15" t="n">
        <x:v>31186</x:v>
      </x:c>
      <x:c r="G363" s="15" t="n">
        <x:v>2162</x:v>
      </x:c>
      <x:c r="H363" s="15" t="n">
        <x:v>29024</x:v>
      </x:c>
      <x:c r="I363" s="15" t="n">
        <x:v>11977</x:v>
      </x:c>
      <x:c r="J363" s="15" t="n">
        <x:v>5512</x:v>
      </x:c>
      <x:c r="K363" s="15" t="n">
        <x:v>41.265849</x:v>
      </x:c>
      <x:c r="L363" s="15" t="n">
        <x:v>18.99118</x:v>
      </x:c>
      <x:c r="M363" s="15" t="n">
        <x:v>6.932598</x:v>
      </x:c>
      <x:c r="N363" s="15" t="n">
        <x:v>31186</x:v>
      </x:c>
      <x:c r="O363" s="15" t="n">
        <x:v>2280</x:v>
      </x:c>
      <x:c r="P363" s="15" t="n">
        <x:v>2100</x:v>
      </x:c>
      <x:c r="Q363" s="15" t="n">
        <x:v>756</x:v>
      </x:c>
      <x:c r="R363" s="15" t="n">
        <x:v>3504</x:v>
      </x:c>
      <x:c r="S363" s="15" t="n">
        <x:v>1182</x:v>
      </x:c>
      <x:c r="T363" s="15" t="n">
        <x:v>4225</x:v>
      </x:c>
      <x:c r="U363" s="15" t="n">
        <x:v>1048</x:v>
      </x:c>
      <x:c r="V363" s="15" t="n">
        <x:v>3045</x:v>
      </x:c>
      <x:c r="W363" s="15" t="n">
        <x:v>1060</x:v>
      </x:c>
      <x:c r="X363" s="15" t="n">
        <x:v>4173</x:v>
      </x:c>
      <x:c r="Y363" s="15" t="n">
        <x:v>1145</x:v>
      </x:c>
      <x:c r="Z363" s="15" t="n">
        <x:v>2420</x:v>
      </x:c>
      <x:c r="AA363" s="15" t="n">
        <x:v>991</x:v>
      </x:c>
      <x:c r="AB363" s="15" t="n">
        <x:v>1330</x:v>
      </x:c>
      <x:c r="AC363" s="15" t="n">
        <x:v>516</x:v>
      </x:c>
      <x:c r="AD363" s="15" t="n">
        <x:v>2715</x:v>
      </x:c>
      <x:c r="AE363" s="15" t="n">
        <x:v>1023</x:v>
      </x:c>
      <x:c r="AF363" s="15" t="n">
        <x:v>5512</x:v>
      </x:c>
      <x:c r="AG363" s="15" t="n">
        <x:v>1256</x:v>
      </x:c>
      <x:c r="AH363" s="15" t="n">
        <x:v>2162</x:v>
      </x:c>
      <x:c r="AI363" s="15" t="n">
        <x:v>817</x:v>
      </x:c>
    </x:row>
    <x:row r="364" ht="22" customHeight="1">
      <x:c r="A364" s="1" t="str">
        <x:v>310M700US45900</x:v>
      </x:c>
      <x:c r="B364" s="1" t="str">
        <x:v>45900</x:v>
      </x:c>
      <x:c r="C364" s="1" t="str">
        <x:v>Traverse City, MI Metro Area</x:v>
      </x:c>
      <x:c r="D364" s="5" t="n">
        <x:v>2024</x:v>
      </x:c>
      <x:c r="E364" s="1" t="str">
        <x:v>ok</x:v>
      </x:c>
      <x:c r="F364" s="15" t="n">
        <x:v>11902</x:v>
      </x:c>
      <x:c r="G364" s="15" t="n">
        <x:v>1125</x:v>
      </x:c>
      <x:c r="H364" s="15" t="n">
        <x:v>10777</x:v>
      </x:c>
      <x:c r="I364" s="15" t="n">
        <x:v>5096</x:v>
      </x:c>
      <x:c r="J364" s="15" t="n">
        <x:v>2265</x:v>
      </x:c>
      <x:c r="K364" s="15" t="n">
        <x:v>47.285887</x:v>
      </x:c>
      <x:c r="L364" s="15" t="n">
        <x:v>21.016981</x:v>
      </x:c>
      <x:c r="M364" s="15" t="n">
        <x:v>9.452193</x:v>
      </x:c>
      <x:c r="N364" s="15" t="n">
        <x:v>11902</x:v>
      </x:c>
      <x:c r="O364" s="15" t="n">
        <x:v>1223</x:v>
      </x:c>
      <x:c r="P364" s="15" t="n">
        <x:v>303</x:v>
      </x:c>
      <x:c r="Q364" s="15" t="n">
        <x:v>248</x:v>
      </x:c>
      <x:c r="R364" s="15" t="n">
        <x:v>745</x:v>
      </x:c>
      <x:c r="S364" s="15" t="n">
        <x:v>373</x:v>
      </x:c>
      <x:c r="T364" s="15" t="n">
        <x:v>1472</x:v>
      </x:c>
      <x:c r="U364" s="15" t="n">
        <x:v>533</x:v>
      </x:c>
      <x:c r="V364" s="15" t="n">
        <x:v>1456</x:v>
      </x:c>
      <x:c r="W364" s="15" t="n">
        <x:v>614</x:v>
      </x:c>
      <x:c r="X364" s="15" t="n">
        <x:v>1705</x:v>
      </x:c>
      <x:c r="Y364" s="15" t="n">
        <x:v>638</x:v>
      </x:c>
      <x:c r="Z364" s="15" t="n">
        <x:v>1597</x:v>
      </x:c>
      <x:c r="AA364" s="15" t="n">
        <x:v>690</x:v>
      </x:c>
      <x:c r="AB364" s="15" t="n">
        <x:v>555</x:v>
      </x:c>
      <x:c r="AC364" s="15" t="n">
        <x:v>351</x:v>
      </x:c>
      <x:c r="AD364" s="15" t="n">
        <x:v>679</x:v>
      </x:c>
      <x:c r="AE364" s="15" t="n">
        <x:v>348</x:v>
      </x:c>
      <x:c r="AF364" s="15" t="n">
        <x:v>2265</x:v>
      </x:c>
      <x:c r="AG364" s="15" t="n">
        <x:v>710</x:v>
      </x:c>
      <x:c r="AH364" s="15" t="n">
        <x:v>1125</x:v>
      </x:c>
      <x:c r="AI364" s="15" t="n">
        <x:v>594</x:v>
      </x:c>
    </x:row>
    <x:row r="365" ht="22" customHeight="1">
      <x:c r="A365" s="1" t="str">
        <x:v>310M700US45940</x:v>
      </x:c>
      <x:c r="B365" s="1" t="str">
        <x:v>45940</x:v>
      </x:c>
      <x:c r="C365" s="1" t="str">
        <x:v>Trenton-Princeton, NJ Metro Area</x:v>
      </x:c>
      <x:c r="D365" s="5" t="n">
        <x:v>2024</x:v>
      </x:c>
      <x:c r="E365" s="1" t="str">
        <x:v>ok</x:v>
      </x:c>
      <x:c r="F365" s="15" t="n">
        <x:v>55733</x:v>
      </x:c>
      <x:c r="G365" s="15" t="n">
        <x:v>2284</x:v>
      </x:c>
      <x:c r="H365" s="15" t="n">
        <x:v>53449</x:v>
      </x:c>
      <x:c r="I365" s="15" t="n">
        <x:v>26157</x:v>
      </x:c>
      <x:c r="J365" s="15" t="n">
        <x:v>12336</x:v>
      </x:c>
      <x:c r="K365" s="15" t="n">
        <x:v>48.93824</x:v>
      </x:c>
      <x:c r="L365" s="15" t="n">
        <x:v>23.079945</x:v>
      </x:c>
      <x:c r="M365" s="15" t="n">
        <x:v>4.098111</x:v>
      </x:c>
      <x:c r="N365" s="15" t="n">
        <x:v>55733</x:v>
      </x:c>
      <x:c r="O365" s="15" t="n">
        <x:v>3093</x:v>
      </x:c>
      <x:c r="P365" s="15" t="n">
        <x:v>894</x:v>
      </x:c>
      <x:c r="Q365" s="15" t="n">
        <x:v>409</x:v>
      </x:c>
      <x:c r="R365" s="15" t="n">
        <x:v>5608</x:v>
      </x:c>
      <x:c r="S365" s="15" t="n">
        <x:v>1524</x:v>
      </x:c>
      <x:c r="T365" s="15" t="n">
        <x:v>7045</x:v>
      </x:c>
      <x:c r="U365" s="15" t="n">
        <x:v>1918</x:v>
      </x:c>
      <x:c r="V365" s="15" t="n">
        <x:v>8241</x:v>
      </x:c>
      <x:c r="W365" s="15" t="n">
        <x:v>1677</x:v>
      </x:c>
      <x:c r="X365" s="15" t="n">
        <x:v>5504</x:v>
      </x:c>
      <x:c r="Y365" s="15" t="n">
        <x:v>1417</x:v>
      </x:c>
      <x:c r="Z365" s="15" t="n">
        <x:v>6551</x:v>
      </x:c>
      <x:c r="AA365" s="15" t="n">
        <x:v>1953</x:v>
      </x:c>
      <x:c r="AB365" s="15" t="n">
        <x:v>3338</x:v>
      </x:c>
      <x:c r="AC365" s="15" t="n">
        <x:v>1460</x:v>
      </x:c>
      <x:c r="AD365" s="15" t="n">
        <x:v>3932</x:v>
      </x:c>
      <x:c r="AE365" s="15" t="n">
        <x:v>1316</x:v>
      </x:c>
      <x:c r="AF365" s="15" t="n">
        <x:v>12336</x:v>
      </x:c>
      <x:c r="AG365" s="15" t="n">
        <x:v>2792</x:v>
      </x:c>
      <x:c r="AH365" s="15" t="n">
        <x:v>2284</x:v>
      </x:c>
      <x:c r="AI365" s="15" t="n">
        <x:v>1193</x:v>
      </x:c>
    </x:row>
    <x:row r="366" ht="22" customHeight="1">
      <x:c r="A366" s="1" t="str">
        <x:v>310M700US46060</x:v>
      </x:c>
      <x:c r="B366" s="1" t="str">
        <x:v>46060</x:v>
      </x:c>
      <x:c r="C366" s="1" t="str">
        <x:v>Tucson, AZ Metro Area</x:v>
      </x:c>
      <x:c r="D366" s="5" t="n">
        <x:v>2024</x:v>
      </x:c>
      <x:c r="E366" s="1" t="str">
        <x:v>ok</x:v>
      </x:c>
      <x:c r="F366" s="15" t="n">
        <x:v>152892</x:v>
      </x:c>
      <x:c r="G366" s="15" t="n">
        <x:v>9769</x:v>
      </x:c>
      <x:c r="H366" s="15" t="n">
        <x:v>143123</x:v>
      </x:c>
      <x:c r="I366" s="15" t="n">
        <x:v>75346</x:v>
      </x:c>
      <x:c r="J366" s="15" t="n">
        <x:v>36462</x:v>
      </x:c>
      <x:c r="K366" s="15" t="n">
        <x:v>52.644229</x:v>
      </x:c>
      <x:c r="L366" s="15" t="n">
        <x:v>25.475989</x:v>
      </x:c>
      <x:c r="M366" s="15" t="n">
        <x:v>6.389478</x:v>
      </x:c>
      <x:c r="N366" s="15" t="n">
        <x:v>152892</x:v>
      </x:c>
      <x:c r="O366" s="15" t="n">
        <x:v>5463</x:v>
      </x:c>
      <x:c r="P366" s="15" t="n">
        <x:v>3537</x:v>
      </x:c>
      <x:c r="Q366" s="15" t="n">
        <x:v>1016</x:v>
      </x:c>
      <x:c r="R366" s="15" t="n">
        <x:v>10138</x:v>
      </x:c>
      <x:c r="S366" s="15" t="n">
        <x:v>2122</x:v>
      </x:c>
      <x:c r="T366" s="15" t="n">
        <x:v>17592</x:v>
      </x:c>
      <x:c r="U366" s="15" t="n">
        <x:v>2807</x:v>
      </x:c>
      <x:c r="V366" s="15" t="n">
        <x:v>18793</x:v>
      </x:c>
      <x:c r="W366" s="15" t="n">
        <x:v>2794</x:v>
      </x:c>
      <x:c r="X366" s="15" t="n">
        <x:v>17717</x:v>
      </x:c>
      <x:c r="Y366" s="15" t="n">
        <x:v>2947</x:v>
      </x:c>
      <x:c r="Z366" s="15" t="n">
        <x:v>13411</x:v>
      </x:c>
      <x:c r="AA366" s="15" t="n">
        <x:v>2619</x:v>
      </x:c>
      <x:c r="AB366" s="15" t="n">
        <x:v>8795</x:v>
      </x:c>
      <x:c r="AC366" s="15" t="n">
        <x:v>1690</x:v>
      </x:c>
      <x:c r="AD366" s="15" t="n">
        <x:v>16678</x:v>
      </x:c>
      <x:c r="AE366" s="15" t="n">
        <x:v>2893</x:v>
      </x:c>
      <x:c r="AF366" s="15" t="n">
        <x:v>36462</x:v>
      </x:c>
      <x:c r="AG366" s="15" t="n">
        <x:v>3574</x:v>
      </x:c>
      <x:c r="AH366" s="15" t="n">
        <x:v>9769</x:v>
      </x:c>
      <x:c r="AI366" s="15" t="n">
        <x:v>2322</x:v>
      </x:c>
    </x:row>
    <x:row r="367" ht="22" customHeight="1">
      <x:c r="A367" s="1" t="str">
        <x:v>310M700US46140</x:v>
      </x:c>
      <x:c r="B367" s="1" t="str">
        <x:v>46140</x:v>
      </x:c>
      <x:c r="C367" s="1" t="str">
        <x:v>Tulsa, OK Metro Area</x:v>
      </x:c>
      <x:c r="D367" s="5" t="n">
        <x:v>2024</x:v>
      </x:c>
      <x:c r="E367" s="1" t="str">
        <x:v>ok</x:v>
      </x:c>
      <x:c r="F367" s="15" t="n">
        <x:v>148706</x:v>
      </x:c>
      <x:c r="G367" s="15" t="n">
        <x:v>12668</x:v>
      </x:c>
      <x:c r="H367" s="15" t="n">
        <x:v>136038</x:v>
      </x:c>
      <x:c r="I367" s="15" t="n">
        <x:v>62308</x:v>
      </x:c>
      <x:c r="J367" s="15" t="n">
        <x:v>28675</x:v>
      </x:c>
      <x:c r="K367" s="15" t="n">
        <x:v>45.801908</x:v>
      </x:c>
      <x:c r="L367" s="15" t="n">
        <x:v>21.078669</x:v>
      </x:c>
      <x:c r="M367" s="15" t="n">
        <x:v>8.518822</x:v>
      </x:c>
      <x:c r="N367" s="15" t="n">
        <x:v>148706</x:v>
      </x:c>
      <x:c r="O367" s="15" t="n">
        <x:v>3453</x:v>
      </x:c>
      <x:c r="P367" s="15" t="n">
        <x:v>6542</x:v>
      </x:c>
      <x:c r="Q367" s="15" t="n">
        <x:v>1103</x:v>
      </x:c>
      <x:c r="R367" s="15" t="n">
        <x:v>12581</x:v>
      </x:c>
      <x:c r="S367" s="15" t="n">
        <x:v>1257</x:v>
      </x:c>
      <x:c r="T367" s="15" t="n">
        <x:v>16877</x:v>
      </x:c>
      <x:c r="U367" s="15" t="n">
        <x:v>1734</x:v>
      </x:c>
      <x:c r="V367" s="15" t="n">
        <x:v>19203</x:v>
      </x:c>
      <x:c r="W367" s="15" t="n">
        <x:v>1782</x:v>
      </x:c>
      <x:c r="X367" s="15" t="n">
        <x:v>18527</x:v>
      </x:c>
      <x:c r="Y367" s="15" t="n">
        <x:v>1737</x:v>
      </x:c>
      <x:c r="Z367" s="15" t="n">
        <x:v>13411</x:v>
      </x:c>
      <x:c r="AA367" s="15" t="n">
        <x:v>1630</x:v>
      </x:c>
      <x:c r="AB367" s="15" t="n">
        <x:v>7918</x:v>
      </x:c>
      <x:c r="AC367" s="15" t="n">
        <x:v>1054</x:v>
      </x:c>
      <x:c r="AD367" s="15" t="n">
        <x:v>12304</x:v>
      </x:c>
      <x:c r="AE367" s="15" t="n">
        <x:v>1592</x:v>
      </x:c>
      <x:c r="AF367" s="15" t="n">
        <x:v>28675</x:v>
      </x:c>
      <x:c r="AG367" s="15" t="n">
        <x:v>2351</x:v>
      </x:c>
      <x:c r="AH367" s="15" t="n">
        <x:v>12668</x:v>
      </x:c>
      <x:c r="AI367" s="15" t="n">
        <x:v>1643</x:v>
      </x:c>
    </x:row>
    <x:row r="368" ht="22" customHeight="1">
      <x:c r="A368" s="1" t="str">
        <x:v>310M700US46220</x:v>
      </x:c>
      <x:c r="B368" s="1" t="str">
        <x:v>46220</x:v>
      </x:c>
      <x:c r="C368" s="1" t="str">
        <x:v>Tuscaloosa, AL Metro Area</x:v>
      </x:c>
      <x:c r="D368" s="5" t="n">
        <x:v>2024</x:v>
      </x:c>
      <x:c r="E368" s="1" t="str">
        <x:v>ok</x:v>
      </x:c>
      <x:c r="F368" s="15" t="n">
        <x:v>41248</x:v>
      </x:c>
      <x:c r="G368" s="15" t="n">
        <x:v>4865</x:v>
      </x:c>
      <x:c r="H368" s="15" t="n">
        <x:v>36383</x:v>
      </x:c>
      <x:c r="I368" s="15" t="n">
        <x:v>16615</x:v>
      </x:c>
      <x:c r="J368" s="15" t="n">
        <x:v>11507</x:v>
      </x:c>
      <x:c r="K368" s="15" t="n">
        <x:v>45.666932</x:v>
      </x:c>
      <x:c r="L368" s="15" t="n">
        <x:v>31.627408</x:v>
      </x:c>
      <x:c r="M368" s="15" t="n">
        <x:v>11.794511</x:v>
      </x:c>
      <x:c r="N368" s="15" t="n">
        <x:v>41248</x:v>
      </x:c>
      <x:c r="O368" s="15" t="n">
        <x:v>2933</x:v>
      </x:c>
      <x:c r="P368" s="15" t="n">
        <x:v>1289</x:v>
      </x:c>
      <x:c r="Q368" s="15" t="n">
        <x:v>646</x:v>
      </x:c>
      <x:c r="R368" s="15" t="n">
        <x:v>2561</x:v>
      </x:c>
      <x:c r="S368" s="15" t="n">
        <x:v>1112</x:v>
      </x:c>
      <x:c r="T368" s="15" t="n">
        <x:v>5576</x:v>
      </x:c>
      <x:c r="U368" s="15" t="n">
        <x:v>1758</x:v>
      </x:c>
      <x:c r="V368" s="15" t="n">
        <x:v>5745</x:v>
      </x:c>
      <x:c r="W368" s="15" t="n">
        <x:v>1680</x:v>
      </x:c>
      <x:c r="X368" s="15" t="n">
        <x:v>4597</x:v>
      </x:c>
      <x:c r="Y368" s="15" t="n">
        <x:v>1384</x:v>
      </x:c>
      <x:c r="Z368" s="15" t="n">
        <x:v>2543</x:v>
      </x:c>
      <x:c r="AA368" s="15" t="n">
        <x:v>1162</x:v>
      </x:c>
      <x:c r="AB368" s="15" t="n">
        <x:v>1640</x:v>
      </x:c>
      <x:c r="AC368" s="15" t="n">
        <x:v>703</x:v>
      </x:c>
      <x:c r="AD368" s="15" t="n">
        <x:v>925</x:v>
      </x:c>
      <x:c r="AE368" s="15" t="n">
        <x:v>589</x:v>
      </x:c>
      <x:c r="AF368" s="15" t="n">
        <x:v>11507</x:v>
      </x:c>
      <x:c r="AG368" s="15" t="n">
        <x:v>2057</x:v>
      </x:c>
      <x:c r="AH368" s="15" t="n">
        <x:v>4865</x:v>
      </x:c>
      <x:c r="AI368" s="15" t="n">
        <x:v>1316</x:v>
      </x:c>
    </x:row>
    <x:row r="369" ht="22" customHeight="1">
      <x:c r="A369" s="1" t="str">
        <x:v>310M700US46300</x:v>
      </x:c>
      <x:c r="B369" s="1" t="str">
        <x:v>46300</x:v>
      </x:c>
      <x:c r="C369" s="1" t="str">
        <x:v>Twin Falls, ID Metro Area</x:v>
      </x:c>
      <x:c r="D369" s="5" t="n">
        <x:v>2024</x:v>
      </x:c>
      <x:c r="E369" s="1" t="str">
        <x:v>ok</x:v>
      </x:c>
      <x:c r="F369" s="15" t="n">
        <x:v>13410</x:v>
      </x:c>
      <x:c r="G369" s="15" t="n">
        <x:v>808</x:v>
      </x:c>
      <x:c r="H369" s="15" t="n">
        <x:v>12602</x:v>
      </x:c>
      <x:c r="I369" s="15" t="n">
        <x:v>6208</x:v>
      </x:c>
      <x:c r="J369" s="15" t="n">
        <x:v>3275</x:v>
      </x:c>
      <x:c r="K369" s="15" t="n">
        <x:v>49.262022</x:v>
      </x:c>
      <x:c r="L369" s="15" t="n">
        <x:v>25.987938</x:v>
      </x:c>
      <x:c r="M369" s="15" t="n">
        <x:v>6.025354</x:v>
      </x:c>
      <x:c r="N369" s="15" t="n">
        <x:v>13410</x:v>
      </x:c>
      <x:c r="O369" s="15" t="n">
        <x:v>1790</x:v>
      </x:c>
      <x:c r="P369" s="15" t="n">
        <x:v>538</x:v>
      </x:c>
      <x:c r="Q369" s="15" t="n">
        <x:v>325</x:v>
      </x:c>
      <x:c r="R369" s="15" t="n">
        <x:v>1073</x:v>
      </x:c>
      <x:c r="S369" s="15" t="n">
        <x:v>479</x:v>
      </x:c>
      <x:c r="T369" s="15" t="n">
        <x:v>1459</x:v>
      </x:c>
      <x:c r="U369" s="15" t="n">
        <x:v>858</x:v>
      </x:c>
      <x:c r="V369" s="15" t="n">
        <x:v>1967</x:v>
      </x:c>
      <x:c r="W369" s="15" t="n">
        <x:v>820</x:v>
      </x:c>
      <x:c r="X369" s="15" t="n">
        <x:v>1357</x:v>
      </x:c>
      <x:c r="Y369" s="15" t="n">
        <x:v>774</x:v>
      </x:c>
      <x:c r="Z369" s="15" t="n">
        <x:v>608</x:v>
      </x:c>
      <x:c r="AA369" s="15" t="n">
        <x:v>542</x:v>
      </x:c>
      <x:c r="AB369" s="15" t="n">
        <x:v>1370</x:v>
      </x:c>
      <x:c r="AC369" s="15" t="n">
        <x:v>763</x:v>
      </x:c>
      <x:c r="AD369" s="15" t="n">
        <x:v>955</x:v>
      </x:c>
      <x:c r="AE369" s="15" t="n">
        <x:v>715</x:v>
      </x:c>
      <x:c r="AF369" s="15" t="n">
        <x:v>3275</x:v>
      </x:c>
      <x:c r="AG369" s="15" t="n">
        <x:v>1060</x:v>
      </x:c>
      <x:c r="AH369" s="15" t="n">
        <x:v>808</x:v>
      </x:c>
      <x:c r="AI369" s="15" t="n">
        <x:v>520</x:v>
      </x:c>
    </x:row>
    <x:row r="370" ht="22" customHeight="1">
      <x:c r="A370" s="1" t="str">
        <x:v>310M700US46340</x:v>
      </x:c>
      <x:c r="B370" s="1" t="str">
        <x:v>46340</x:v>
      </x:c>
      <x:c r="C370" s="1" t="str">
        <x:v>Tyler, TX Metro Area</x:v>
      </x:c>
      <x:c r="D370" s="5" t="n">
        <x:v>2024</x:v>
      </x:c>
      <x:c r="E370" s="1" t="str">
        <x:v>ok</x:v>
      </x:c>
      <x:c r="F370" s="15" t="n">
        <x:v>31013</x:v>
      </x:c>
      <x:c r="G370" s="15" t="n">
        <x:v>2074</x:v>
      </x:c>
      <x:c r="H370" s="15" t="n">
        <x:v>28939</x:v>
      </x:c>
      <x:c r="I370" s="15" t="n">
        <x:v>14145</x:v>
      </x:c>
      <x:c r="J370" s="15" t="n">
        <x:v>7424</x:v>
      </x:c>
      <x:c r="K370" s="15" t="n">
        <x:v>48.878676</x:v>
      </x:c>
      <x:c r="L370" s="15" t="n">
        <x:v>25.653962</x:v>
      </x:c>
      <x:c r="M370" s="15" t="n">
        <x:v>6.687518</x:v>
      </x:c>
      <x:c r="N370" s="15" t="n">
        <x:v>31013</x:v>
      </x:c>
      <x:c r="O370" s="15" t="n">
        <x:v>2862</x:v>
      </x:c>
      <x:c r="P370" s="15" t="n">
        <x:v>1204</x:v>
      </x:c>
      <x:c r="Q370" s="15" t="n">
        <x:v>618</x:v>
      </x:c>
      <x:c r="R370" s="15" t="n">
        <x:v>2063</x:v>
      </x:c>
      <x:c r="S370" s="15" t="n">
        <x:v>806</x:v>
      </x:c>
      <x:c r="T370" s="15" t="n">
        <x:v>4367</x:v>
      </x:c>
      <x:c r="U370" s="15" t="n">
        <x:v>1264</x:v>
      </x:c>
      <x:c r="V370" s="15" t="n">
        <x:v>4300</x:v>
      </x:c>
      <x:c r="W370" s="15" t="n">
        <x:v>1297</x:v>
      </x:c>
      <x:c r="X370" s="15" t="n">
        <x:v>2860</x:v>
      </x:c>
      <x:c r="Y370" s="15" t="n">
        <x:v>1094</x:v>
      </x:c>
      <x:c r="Z370" s="15" t="n">
        <x:v>2071</x:v>
      </x:c>
      <x:c r="AA370" s="15" t="n">
        <x:v>790</x:v>
      </x:c>
      <x:c r="AB370" s="15" t="n">
        <x:v>2286</x:v>
      </x:c>
      <x:c r="AC370" s="15" t="n">
        <x:v>1070</x:v>
      </x:c>
      <x:c r="AD370" s="15" t="n">
        <x:v>2364</x:v>
      </x:c>
      <x:c r="AE370" s="15" t="n">
        <x:v>1123</x:v>
      </x:c>
      <x:c r="AF370" s="15" t="n">
        <x:v>7424</x:v>
      </x:c>
      <x:c r="AG370" s="15" t="n">
        <x:v>1977</x:v>
      </x:c>
      <x:c r="AH370" s="15" t="n">
        <x:v>2074</x:v>
      </x:c>
      <x:c r="AI370" s="15" t="n">
        <x:v>1079</x:v>
      </x:c>
    </x:row>
    <x:row r="371" ht="22" customHeight="1">
      <x:c r="A371" s="1" t="str">
        <x:v>310M700US46520</x:v>
      </x:c>
      <x:c r="B371" s="1" t="str">
        <x:v>46520</x:v>
      </x:c>
      <x:c r="C371" s="1" t="str">
        <x:v>Urban Honolulu, HI Metro Area</x:v>
      </x:c>
      <x:c r="D371" s="5" t="n">
        <x:v>2024</x:v>
      </x:c>
      <x:c r="E371" s="1" t="str">
        <x:v>ok</x:v>
      </x:c>
      <x:c r="F371" s="15" t="n">
        <x:v>142130</x:v>
      </x:c>
      <x:c r="G371" s="15" t="n">
        <x:v>8848</x:v>
      </x:c>
      <x:c r="H371" s="15" t="n">
        <x:v>133282</x:v>
      </x:c>
      <x:c r="I371" s="15" t="n">
        <x:v>72930</x:v>
      </x:c>
      <x:c r="J371" s="15" t="n">
        <x:v>36102</x:v>
      </x:c>
      <x:c r="K371" s="15" t="n">
        <x:v>54.718567</x:v>
      </x:c>
      <x:c r="L371" s="15" t="n">
        <x:v>27.086928</x:v>
      </x:c>
      <x:c r="M371" s="15" t="n">
        <x:v>6.225287</x:v>
      </x:c>
      <x:c r="N371" s="15" t="n">
        <x:v>142130</x:v>
      </x:c>
      <x:c r="O371" s="15" t="n">
        <x:v>4105</x:v>
      </x:c>
      <x:c r="P371" s="15" t="n">
        <x:v>4176</x:v>
      </x:c>
      <x:c r="Q371" s="15" t="n">
        <x:v>1193</x:v>
      </x:c>
      <x:c r="R371" s="15" t="n">
        <x:v>9876</x:v>
      </x:c>
      <x:c r="S371" s="15" t="n">
        <x:v>1597</x:v>
      </x:c>
      <x:c r="T371" s="15" t="n">
        <x:v>14332</x:v>
      </x:c>
      <x:c r="U371" s="15" t="n">
        <x:v>1964</x:v>
      </x:c>
      <x:c r="V371" s="15" t="n">
        <x:v>16578</x:v>
      </x:c>
      <x:c r="W371" s="15" t="n">
        <x:v>2312</x:v>
      </x:c>
      <x:c r="X371" s="15" t="n">
        <x:v>15390</x:v>
      </x:c>
      <x:c r="Y371" s="15" t="n">
        <x:v>1829</x:v>
      </x:c>
      <x:c r="Z371" s="15" t="n">
        <x:v>12479</x:v>
      </x:c>
      <x:c r="AA371" s="15" t="n">
        <x:v>1546</x:v>
      </x:c>
      <x:c r="AB371" s="15" t="n">
        <x:v>8675</x:v>
      </x:c>
      <x:c r="AC371" s="15" t="n">
        <x:v>1489</x:v>
      </x:c>
      <x:c r="AD371" s="15" t="n">
        <x:v>15674</x:v>
      </x:c>
      <x:c r="AE371" s="15" t="n">
        <x:v>2167</x:v>
      </x:c>
      <x:c r="AF371" s="15" t="n">
        <x:v>36102</x:v>
      </x:c>
      <x:c r="AG371" s="15" t="n">
        <x:v>2691</x:v>
      </x:c>
      <x:c r="AH371" s="15" t="n">
        <x:v>8848</x:v>
      </x:c>
      <x:c r="AI371" s="15" t="n">
        <x:v>1577</x:v>
      </x:c>
    </x:row>
    <x:row r="372" ht="22" customHeight="1">
      <x:c r="A372" s="1" t="str">
        <x:v>310M700US46540</x:v>
      </x:c>
      <x:c r="B372" s="1" t="str">
        <x:v>46540</x:v>
      </x:c>
      <x:c r="C372" s="1" t="str">
        <x:v>Utica-Rome, NY Metro Area</x:v>
      </x:c>
      <x:c r="D372" s="5" t="n">
        <x:v>2024</x:v>
      </x:c>
      <x:c r="E372" s="1" t="str">
        <x:v>ok</x:v>
      </x:c>
      <x:c r="F372" s="15" t="n">
        <x:v>33790</x:v>
      </x:c>
      <x:c r="G372" s="15" t="n">
        <x:v>3093</x:v>
      </x:c>
      <x:c r="H372" s="15" t="n">
        <x:v>30697</x:v>
      </x:c>
      <x:c r="I372" s="15" t="n">
        <x:v>14749</x:v>
      </x:c>
      <x:c r="J372" s="15" t="n">
        <x:v>9318</x:v>
      </x:c>
      <x:c r="K372" s="15" t="n">
        <x:v>48.04704</x:v>
      </x:c>
      <x:c r="L372" s="15" t="n">
        <x:v>30.354758</x:v>
      </x:c>
      <x:c r="M372" s="15" t="n">
        <x:v>9.153596</x:v>
      </x:c>
      <x:c r="N372" s="15" t="n">
        <x:v>33790</x:v>
      </x:c>
      <x:c r="O372" s="15" t="n">
        <x:v>2885</x:v>
      </x:c>
      <x:c r="P372" s="15" t="n">
        <x:v>2585</x:v>
      </x:c>
      <x:c r="Q372" s="15" t="n">
        <x:v>835</x:v>
      </x:c>
      <x:c r="R372" s="15" t="n">
        <x:v>3285</x:v>
      </x:c>
      <x:c r="S372" s="15" t="n">
        <x:v>1232</x:v>
      </x:c>
      <x:c r="T372" s="15" t="n">
        <x:v>3401</x:v>
      </x:c>
      <x:c r="U372" s="15" t="n">
        <x:v>1127</x:v>
      </x:c>
      <x:c r="V372" s="15" t="n">
        <x:v>4169</x:v>
      </x:c>
      <x:c r="W372" s="15" t="n">
        <x:v>988</x:v>
      </x:c>
      <x:c r="X372" s="15" t="n">
        <x:v>2508</x:v>
      </x:c>
      <x:c r="Y372" s="15" t="n">
        <x:v>848</x:v>
      </x:c>
      <x:c r="Z372" s="15" t="n">
        <x:v>2196</x:v>
      </x:c>
      <x:c r="AA372" s="15" t="n">
        <x:v>830</x:v>
      </x:c>
      <x:c r="AB372" s="15" t="n">
        <x:v>1592</x:v>
      </x:c>
      <x:c r="AC372" s="15" t="n">
        <x:v>604</x:v>
      </x:c>
      <x:c r="AD372" s="15" t="n">
        <x:v>1643</x:v>
      </x:c>
      <x:c r="AE372" s="15" t="n">
        <x:v>678</x:v>
      </x:c>
      <x:c r="AF372" s="15" t="n">
        <x:v>9318</x:v>
      </x:c>
      <x:c r="AG372" s="15" t="n">
        <x:v>1956</x:v>
      </x:c>
      <x:c r="AH372" s="15" t="n">
        <x:v>3093</x:v>
      </x:c>
      <x:c r="AI372" s="15" t="n">
        <x:v>1060</x:v>
      </x:c>
    </x:row>
    <x:row r="373" ht="22" customHeight="1">
      <x:c r="A373" s="1" t="str">
        <x:v>310M700US46660</x:v>
      </x:c>
      <x:c r="B373" s="1" t="str">
        <x:v>46660</x:v>
      </x:c>
      <x:c r="C373" s="1" t="str">
        <x:v>Valdosta, GA Metro Area</x:v>
      </x:c>
      <x:c r="D373" s="5" t="n">
        <x:v>2024</x:v>
      </x:c>
      <x:c r="E373" s="1" t="str">
        <x:v>ok</x:v>
      </x:c>
      <x:c r="F373" s="15" t="n">
        <x:v>22889</x:v>
      </x:c>
      <x:c r="G373" s="15" t="n">
        <x:v>2870</x:v>
      </x:c>
      <x:c r="H373" s="15" t="n">
        <x:v>20019</x:v>
      </x:c>
      <x:c r="I373" s="15" t="n">
        <x:v>10312</x:v>
      </x:c>
      <x:c r="J373" s="15" t="n">
        <x:v>6665</x:v>
      </x:c>
      <x:c r="K373" s="15" t="n">
        <x:v>51.511064</x:v>
      </x:c>
      <x:c r="L373" s="15" t="n">
        <x:v>33.293371</x:v>
      </x:c>
      <x:c r="M373" s="15" t="n">
        <x:v>12.538774</x:v>
      </x:c>
      <x:c r="N373" s="15" t="n">
        <x:v>22889</x:v>
      </x:c>
      <x:c r="O373" s="15" t="n">
        <x:v>2291</x:v>
      </x:c>
      <x:c r="P373" s="15" t="n">
        <x:v>926</x:v>
      </x:c>
      <x:c r="Q373" s="15" t="n">
        <x:v>579</x:v>
      </x:c>
      <x:c r="R373" s="15" t="n">
        <x:v>1893</x:v>
      </x:c>
      <x:c r="S373" s="15" t="n">
        <x:v>900</x:v>
      </x:c>
      <x:c r="T373" s="15" t="n">
        <x:v>2501</x:v>
      </x:c>
      <x:c r="U373" s="15" t="n">
        <x:v>1005</x:v>
      </x:c>
      <x:c r="V373" s="15" t="n">
        <x:v>1233</x:v>
      </x:c>
      <x:c r="W373" s="15" t="n">
        <x:v>827</x:v>
      </x:c>
      <x:c r="X373" s="15" t="n">
        <x:v>3154</x:v>
      </x:c>
      <x:c r="Y373" s="15" t="n">
        <x:v>1233</x:v>
      </x:c>
      <x:c r="Z373" s="15" t="n">
        <x:v>1582</x:v>
      </x:c>
      <x:c r="AA373" s="15" t="n">
        <x:v>769</x:v>
      </x:c>
      <x:c r="AB373" s="15" t="n">
        <x:v>1020</x:v>
      </x:c>
      <x:c r="AC373" s="15" t="n">
        <x:v>779</x:v>
      </x:c>
      <x:c r="AD373" s="15" t="n">
        <x:v>1045</x:v>
      </x:c>
      <x:c r="AE373" s="15" t="n">
        <x:v>702</x:v>
      </x:c>
      <x:c r="AF373" s="15" t="n">
        <x:v>6665</x:v>
      </x:c>
      <x:c r="AG373" s="15" t="n">
        <x:v>1599</x:v>
      </x:c>
      <x:c r="AH373" s="15" t="n">
        <x:v>2870</x:v>
      </x:c>
      <x:c r="AI373" s="15" t="n">
        <x:v>858</x:v>
      </x:c>
    </x:row>
    <x:row r="374" ht="22" customHeight="1">
      <x:c r="A374" s="1" t="str">
        <x:v>310M700US46700</x:v>
      </x:c>
      <x:c r="B374" s="1" t="str">
        <x:v>46700</x:v>
      </x:c>
      <x:c r="C374" s="1" t="str">
        <x:v>Vallejo, CA Metro Area</x:v>
      </x:c>
      <x:c r="D374" s="5" t="n">
        <x:v>2024</x:v>
      </x:c>
      <x:c r="E374" s="1" t="str">
        <x:v>ok</x:v>
      </x:c>
      <x:c r="F374" s="15" t="n">
        <x:v>61695</x:v>
      </x:c>
      <x:c r="G374" s="15" t="n">
        <x:v>2944</x:v>
      </x:c>
      <x:c r="H374" s="15" t="n">
        <x:v>58751</x:v>
      </x:c>
      <x:c r="I374" s="15" t="n">
        <x:v>38578</x:v>
      </x:c>
      <x:c r="J374" s="15" t="n">
        <x:v>19316</x:v>
      </x:c>
      <x:c r="K374" s="15" t="n">
        <x:v>65.663563</x:v>
      </x:c>
      <x:c r="L374" s="15" t="n">
        <x:v>32.877738</x:v>
      </x:c>
      <x:c r="M374" s="15" t="n">
        <x:v>4.771862</x:v>
      </x:c>
      <x:c r="N374" s="15" t="n">
        <x:v>61695</x:v>
      </x:c>
      <x:c r="O374" s="15" t="n">
        <x:v>3567</x:v>
      </x:c>
      <x:c r="P374" s="15" t="n">
        <x:v>1746</x:v>
      </x:c>
      <x:c r="Q374" s="15" t="n">
        <x:v>718</x:v>
      </x:c>
      <x:c r="R374" s="15" t="n">
        <x:v>2176</x:v>
      </x:c>
      <x:c r="S374" s="15" t="n">
        <x:v>782</x:v>
      </x:c>
      <x:c r="T374" s="15" t="n">
        <x:v>5149</x:v>
      </x:c>
      <x:c r="U374" s="15" t="n">
        <x:v>1353</x:v>
      </x:c>
      <x:c r="V374" s="15" t="n">
        <x:v>5408</x:v>
      </x:c>
      <x:c r="W374" s="15" t="n">
        <x:v>1349</x:v>
      </x:c>
      <x:c r="X374" s="15" t="n">
        <x:v>5694</x:v>
      </x:c>
      <x:c r="Y374" s="15" t="n">
        <x:v>1678</x:v>
      </x:c>
      <x:c r="Z374" s="15" t="n">
        <x:v>7032</x:v>
      </x:c>
      <x:c r="AA374" s="15" t="n">
        <x:v>1541</x:v>
      </x:c>
      <x:c r="AB374" s="15" t="n">
        <x:v>3757</x:v>
      </x:c>
      <x:c r="AC374" s="15" t="n">
        <x:v>1194</x:v>
      </x:c>
      <x:c r="AD374" s="15" t="n">
        <x:v>8473</x:v>
      </x:c>
      <x:c r="AE374" s="15" t="n">
        <x:v>1863</x:v>
      </x:c>
      <x:c r="AF374" s="15" t="n">
        <x:v>19316</x:v>
      </x:c>
      <x:c r="AG374" s="15" t="n">
        <x:v>2663</x:v>
      </x:c>
      <x:c r="AH374" s="15" t="n">
        <x:v>2944</x:v>
      </x:c>
      <x:c r="AI374" s="15" t="n">
        <x:v>892</x:v>
      </x:c>
    </x:row>
    <x:row r="375" ht="22" customHeight="1">
      <x:c r="A375" s="1" t="str">
        <x:v>310M700US47020</x:v>
      </x:c>
      <x:c r="B375" s="1" t="str">
        <x:v>47020</x:v>
      </x:c>
      <x:c r="C375" s="1" t="str">
        <x:v>Victoria, TX Metro Area</x:v>
      </x:c>
      <x:c r="D375" s="5" t="n">
        <x:v>2024</x:v>
      </x:c>
      <x:c r="E375" s="1" t="str">
        <x:v>ok</x:v>
      </x:c>
      <x:c r="F375" s="15" t="n">
        <x:v>14059</x:v>
      </x:c>
      <x:c r="G375" s="15" t="n">
        <x:v>1006</x:v>
      </x:c>
      <x:c r="H375" s="15" t="n">
        <x:v>13053</x:v>
      </x:c>
      <x:c r="I375" s="15" t="n">
        <x:v>5975</x:v>
      </x:c>
      <x:c r="J375" s="15" t="n">
        <x:v>2799</x:v>
      </x:c>
      <x:c r="K375" s="15" t="n">
        <x:v>45.774918</x:v>
      </x:c>
      <x:c r="L375" s="15" t="n">
        <x:v>21.443346</x:v>
      </x:c>
      <x:c r="M375" s="15" t="n">
        <x:v>7.155559</x:v>
      </x:c>
      <x:c r="N375" s="15" t="n">
        <x:v>14059</x:v>
      </x:c>
      <x:c r="O375" s="15" t="n">
        <x:v>1675</x:v>
      </x:c>
      <x:c r="P375" s="15" t="n">
        <x:v>377</x:v>
      </x:c>
      <x:c r="Q375" s="15" t="n">
        <x:v>345</x:v>
      </x:c>
      <x:c r="R375" s="15" t="n">
        <x:v>555</x:v>
      </x:c>
      <x:c r="S375" s="15" t="n">
        <x:v>394</x:v>
      </x:c>
      <x:c r="T375" s="15" t="n">
        <x:v>2185</x:v>
      </x:c>
      <x:c r="U375" s="15" t="n">
        <x:v>1003</x:v>
      </x:c>
      <x:c r="V375" s="15" t="n">
        <x:v>2170</x:v>
      </x:c>
      <x:c r="W375" s="15" t="n">
        <x:v>1189</x:v>
      </x:c>
      <x:c r="X375" s="15" t="n">
        <x:v>1791</x:v>
      </x:c>
      <x:c r="Y375" s="15" t="n">
        <x:v>868</x:v>
      </x:c>
      <x:c r="Z375" s="15" t="n">
        <x:v>1696</x:v>
      </x:c>
      <x:c r="AA375" s="15" t="n">
        <x:v>937</x:v>
      </x:c>
      <x:c r="AB375" s="15" t="n">
        <x:v>609</x:v>
      </x:c>
      <x:c r="AC375" s="15" t="n">
        <x:v>525</x:v>
      </x:c>
      <x:c r="AD375" s="15" t="n">
        <x:v>871</x:v>
      </x:c>
      <x:c r="AE375" s="15" t="n">
        <x:v>554</x:v>
      </x:c>
      <x:c r="AF375" s="15" t="n">
        <x:v>2799</x:v>
      </x:c>
      <x:c r="AG375" s="15" t="n">
        <x:v>1236</x:v>
      </x:c>
      <x:c r="AH375" s="15" t="n">
        <x:v>1006</x:v>
      </x:c>
      <x:c r="AI375" s="15" t="n">
        <x:v>811</x:v>
      </x:c>
    </x:row>
    <x:row r="376" ht="22" customHeight="1">
      <x:c r="A376" s="1" t="str">
        <x:v>310M700US47220</x:v>
      </x:c>
      <x:c r="B376" s="1" t="str">
        <x:v>47220</x:v>
      </x:c>
      <x:c r="C376" s="1" t="str">
        <x:v>Vineland, NJ Metro Area</x:v>
      </x:c>
      <x:c r="D376" s="5" t="n">
        <x:v>2024</x:v>
      </x:c>
      <x:c r="E376" s="1" t="str">
        <x:v>ok</x:v>
      </x:c>
      <x:c r="F376" s="15" t="n">
        <x:v>18516</x:v>
      </x:c>
      <x:c r="G376" s="15" t="n">
        <x:v>1507</x:v>
      </x:c>
      <x:c r="H376" s="15" t="n">
        <x:v>17009</x:v>
      </x:c>
      <x:c r="I376" s="15" t="n">
        <x:v>11211</x:v>
      </x:c>
      <x:c r="J376" s="15" t="n">
        <x:v>6000</x:v>
      </x:c>
      <x:c r="K376" s="15" t="n">
        <x:v>65.912164</x:v>
      </x:c>
      <x:c r="L376" s="15" t="n">
        <x:v>35.275442</x:v>
      </x:c>
      <x:c r="M376" s="15" t="n">
        <x:v>8.138907</x:v>
      </x:c>
      <x:c r="N376" s="15" t="n">
        <x:v>18516</x:v>
      </x:c>
      <x:c r="O376" s="15" t="n">
        <x:v>1895</x:v>
      </x:c>
      <x:c r="P376" s="15" t="n">
        <x:v>419</x:v>
      </x:c>
      <x:c r="Q376" s="15" t="n">
        <x:v>439</x:v>
      </x:c>
      <x:c r="R376" s="15" t="n">
        <x:v>942</x:v>
      </x:c>
      <x:c r="S376" s="15" t="n">
        <x:v>916</x:v>
      </x:c>
      <x:c r="T376" s="15" t="n">
        <x:v>1689</x:v>
      </x:c>
      <x:c r="U376" s="15" t="n">
        <x:v>714</x:v>
      </x:c>
      <x:c r="V376" s="15" t="n">
        <x:v>1606</x:v>
      </x:c>
      <x:c r="W376" s="15" t="n">
        <x:v>807</x:v>
      </x:c>
      <x:c r="X376" s="15" t="n">
        <x:v>1142</x:v>
      </x:c>
      <x:c r="Y376" s="15" t="n">
        <x:v>669</x:v>
      </x:c>
      <x:c r="Z376" s="15" t="n">
        <x:v>2574</x:v>
      </x:c>
      <x:c r="AA376" s="15" t="n">
        <x:v>1045</x:v>
      </x:c>
      <x:c r="AB376" s="15" t="n">
        <x:v>1593</x:v>
      </x:c>
      <x:c r="AC376" s="15" t="n">
        <x:v>922</x:v>
      </x:c>
      <x:c r="AD376" s="15" t="n">
        <x:v>1044</x:v>
      </x:c>
      <x:c r="AE376" s="15" t="n">
        <x:v>557</x:v>
      </x:c>
      <x:c r="AF376" s="15" t="n">
        <x:v>6000</x:v>
      </x:c>
      <x:c r="AG376" s="15" t="n">
        <x:v>1728</x:v>
      </x:c>
      <x:c r="AH376" s="15" t="n">
        <x:v>1507</x:v>
      </x:c>
      <x:c r="AI376" s="15" t="n">
        <x:v>854</x:v>
      </x:c>
    </x:row>
    <x:row r="377" ht="22" customHeight="1">
      <x:c r="A377" s="1" t="str">
        <x:v>310M700US47260</x:v>
      </x:c>
      <x:c r="B377" s="1" t="str">
        <x:v>47260</x:v>
      </x:c>
      <x:c r="C377" s="1" t="str">
        <x:v>Virginia Beach-Chesapeake-Norfolk, VA-NC Metro Area</x:v>
      </x:c>
      <x:c r="D377" s="5" t="n">
        <x:v>2024</x:v>
      </x:c>
      <x:c r="E377" s="1" t="str">
        <x:v>ok</x:v>
      </x:c>
      <x:c r="F377" s="15" t="n">
        <x:v>266624</x:v>
      </x:c>
      <x:c r="G377" s="15" t="n">
        <x:v>12862</x:v>
      </x:c>
      <x:c r="H377" s="15" t="n">
        <x:v>253762</x:v>
      </x:c>
      <x:c r="I377" s="15" t="n">
        <x:v>141893</x:v>
      </x:c>
      <x:c r="J377" s="15" t="n">
        <x:v>67032</x:v>
      </x:c>
      <x:c r="K377" s="15" t="n">
        <x:v>55.915779</x:v>
      </x:c>
      <x:c r="L377" s="15" t="n">
        <x:v>26.415303</x:v>
      </x:c>
      <x:c r="M377" s="15" t="n">
        <x:v>4.824022</x:v>
      </x:c>
      <x:c r="N377" s="15" t="n">
        <x:v>266624</x:v>
      </x:c>
      <x:c r="O377" s="15" t="n">
        <x:v>7499</x:v>
      </x:c>
      <x:c r="P377" s="15" t="n">
        <x:v>6959</x:v>
      </x:c>
      <x:c r="Q377" s="15" t="n">
        <x:v>1602</x:v>
      </x:c>
      <x:c r="R377" s="15" t="n">
        <x:v>17051</x:v>
      </x:c>
      <x:c r="S377" s="15" t="n">
        <x:v>2562</x:v>
      </x:c>
      <x:c r="T377" s="15" t="n">
        <x:v>30325</x:v>
      </x:c>
      <x:c r="U377" s="15" t="n">
        <x:v>3603</x:v>
      </x:c>
      <x:c r="V377" s="15" t="n">
        <x:v>32505</x:v>
      </x:c>
      <x:c r="W377" s="15" t="n">
        <x:v>3645</x:v>
      </x:c>
      <x:c r="X377" s="15" t="n">
        <x:v>25029</x:v>
      </x:c>
      <x:c r="Y377" s="15" t="n">
        <x:v>2894</x:v>
      </x:c>
      <x:c r="Z377" s="15" t="n">
        <x:v>28855</x:v>
      </x:c>
      <x:c r="AA377" s="15" t="n">
        <x:v>4032</x:v>
      </x:c>
      <x:c r="AB377" s="15" t="n">
        <x:v>17478</x:v>
      </x:c>
      <x:c r="AC377" s="15" t="n">
        <x:v>2729</x:v>
      </x:c>
      <x:c r="AD377" s="15" t="n">
        <x:v>28528</x:v>
      </x:c>
      <x:c r="AE377" s="15" t="n">
        <x:v>3733</x:v>
      </x:c>
      <x:c r="AF377" s="15" t="n">
        <x:v>67032</x:v>
      </x:c>
      <x:c r="AG377" s="15" t="n">
        <x:v>4350</x:v>
      </x:c>
      <x:c r="AH377" s="15" t="n">
        <x:v>12862</x:v>
      </x:c>
      <x:c r="AI377" s="15" t="n">
        <x:v>2260</x:v>
      </x:c>
    </x:row>
    <x:row r="378" ht="22" customHeight="1">
      <x:c r="A378" s="1" t="str">
        <x:v>310M700US47300</x:v>
      </x:c>
      <x:c r="B378" s="1" t="str">
        <x:v>47300</x:v>
      </x:c>
      <x:c r="C378" s="1" t="str">
        <x:v>Visalia, CA Metro Area</x:v>
      </x:c>
      <x:c r="D378" s="5" t="n">
        <x:v>2024</x:v>
      </x:c>
      <x:c r="E378" s="1" t="str">
        <x:v>ok</x:v>
      </x:c>
      <x:c r="F378" s="15" t="n">
        <x:v>60760</x:v>
      </x:c>
      <x:c r="G378" s="15" t="n">
        <x:v>3815</x:v>
      </x:c>
      <x:c r="H378" s="15" t="n">
        <x:v>56945</x:v>
      </x:c>
      <x:c r="I378" s="15" t="n">
        <x:v>29982</x:v>
      </x:c>
      <x:c r="J378" s="15" t="n">
        <x:v>16890</x:v>
      </x:c>
      <x:c r="K378" s="15" t="n">
        <x:v>52.650803</x:v>
      </x:c>
      <x:c r="L378" s="15" t="n">
        <x:v>29.660198</x:v>
      </x:c>
      <x:c r="M378" s="15" t="n">
        <x:v>6.278802</x:v>
      </x:c>
      <x:c r="N378" s="15" t="n">
        <x:v>60760</x:v>
      </x:c>
      <x:c r="O378" s="15" t="n">
        <x:v>3748</x:v>
      </x:c>
      <x:c r="P378" s="15" t="n">
        <x:v>1535</x:v>
      </x:c>
      <x:c r="Q378" s="15" t="n">
        <x:v>580</x:v>
      </x:c>
      <x:c r="R378" s="15" t="n">
        <x:v>3993</x:v>
      </x:c>
      <x:c r="S378" s="15" t="n">
        <x:v>1077</x:v>
      </x:c>
      <x:c r="T378" s="15" t="n">
        <x:v>6726</x:v>
      </x:c>
      <x:c r="U378" s="15" t="n">
        <x:v>1451</x:v>
      </x:c>
      <x:c r="V378" s="15" t="n">
        <x:v>7162</x:v>
      </x:c>
      <x:c r="W378" s="15" t="n">
        <x:v>1747</x:v>
      </x:c>
      <x:c r="X378" s="15" t="n">
        <x:v>7547</x:v>
      </x:c>
      <x:c r="Y378" s="15" t="n">
        <x:v>1613</x:v>
      </x:c>
      <x:c r="Z378" s="15" t="n">
        <x:v>5278</x:v>
      </x:c>
      <x:c r="AA378" s="15" t="n">
        <x:v>1676</x:v>
      </x:c>
      <x:c r="AB378" s="15" t="n">
        <x:v>2626</x:v>
      </x:c>
      <x:c r="AC378" s="15" t="n">
        <x:v>963</x:v>
      </x:c>
      <x:c r="AD378" s="15" t="n">
        <x:v>5188</x:v>
      </x:c>
      <x:c r="AE378" s="15" t="n">
        <x:v>1259</x:v>
      </x:c>
      <x:c r="AF378" s="15" t="n">
        <x:v>16890</x:v>
      </x:c>
      <x:c r="AG378" s="15" t="n">
        <x:v>2513</x:v>
      </x:c>
      <x:c r="AH378" s="15" t="n">
        <x:v>3815</x:v>
      </x:c>
      <x:c r="AI378" s="15" t="n">
        <x:v>1057</x:v>
      </x:c>
    </x:row>
    <x:row r="379" ht="22" customHeight="1">
      <x:c r="A379" s="1" t="str">
        <x:v>310M700US47380</x:v>
      </x:c>
      <x:c r="B379" s="1" t="str">
        <x:v>47380</x:v>
      </x:c>
      <x:c r="C379" s="1" t="str">
        <x:v>Waco, TX Metro Area</x:v>
      </x:c>
      <x:c r="D379" s="5" t="n">
        <x:v>2024</x:v>
      </x:c>
      <x:c r="E379" s="1" t="str">
        <x:v>ok</x:v>
      </x:c>
      <x:c r="F379" s="15" t="n">
        <x:v>42690</x:v>
      </x:c>
      <x:c r="G379" s="15" t="n">
        <x:v>5100</x:v>
      </x:c>
      <x:c r="H379" s="15" t="n">
        <x:v>37590</x:v>
      </x:c>
      <x:c r="I379" s="15" t="n">
        <x:v>21388</x:v>
      </x:c>
      <x:c r="J379" s="15" t="n">
        <x:v>9672</x:v>
      </x:c>
      <x:c r="K379" s="15" t="n">
        <x:v>56.898111</x:v>
      </x:c>
      <x:c r="L379" s="15" t="n">
        <x:v>25.730247</x:v>
      </x:c>
      <x:c r="M379" s="15" t="n">
        <x:v>11.946592</x:v>
      </x:c>
      <x:c r="N379" s="15" t="n">
        <x:v>42690</x:v>
      </x:c>
      <x:c r="O379" s="15" t="n">
        <x:v>3620</x:v>
      </x:c>
      <x:c r="P379" s="15" t="n">
        <x:v>1087</x:v>
      </x:c>
      <x:c r="Q379" s="15" t="n">
        <x:v>632</x:v>
      </x:c>
      <x:c r="R379" s="15" t="n">
        <x:v>1724</x:v>
      </x:c>
      <x:c r="S379" s="15" t="n">
        <x:v>712</x:v>
      </x:c>
      <x:c r="T379" s="15" t="n">
        <x:v>5515</x:v>
      </x:c>
      <x:c r="U379" s="15" t="n">
        <x:v>1897</x:v>
      </x:c>
      <x:c r="V379" s="15" t="n">
        <x:v>4173</x:v>
      </x:c>
      <x:c r="W379" s="15" t="n">
        <x:v>1327</x:v>
      </x:c>
      <x:c r="X379" s="15" t="n">
        <x:v>3703</x:v>
      </x:c>
      <x:c r="Y379" s="15" t="n">
        <x:v>1083</x:v>
      </x:c>
      <x:c r="Z379" s="15" t="n">
        <x:v>3259</x:v>
      </x:c>
      <x:c r="AA379" s="15" t="n">
        <x:v>1121</x:v>
      </x:c>
      <x:c r="AB379" s="15" t="n">
        <x:v>3020</x:v>
      </x:c>
      <x:c r="AC379" s="15" t="n">
        <x:v>1169</x:v>
      </x:c>
      <x:c r="AD379" s="15" t="n">
        <x:v>5437</x:v>
      </x:c>
      <x:c r="AE379" s="15" t="n">
        <x:v>1746</x:v>
      </x:c>
      <x:c r="AF379" s="15" t="n">
        <x:v>9672</x:v>
      </x:c>
      <x:c r="AG379" s="15" t="n">
        <x:v>1832</x:v>
      </x:c>
      <x:c r="AH379" s="15" t="n">
        <x:v>5100</x:v>
      </x:c>
      <x:c r="AI379" s="15" t="n">
        <x:v>1226</x:v>
      </x:c>
    </x:row>
    <x:row r="380" ht="22" customHeight="1">
      <x:c r="A380" s="1" t="str">
        <x:v>310M700US47460</x:v>
      </x:c>
      <x:c r="B380" s="1" t="str">
        <x:v>47460</x:v>
      </x:c>
      <x:c r="C380" s="1" t="str">
        <x:v>Walla Walla, WA Metro Area</x:v>
      </x:c>
      <x:c r="D380" s="5" t="n">
        <x:v>2024</x:v>
      </x:c>
      <x:c r="E380" s="1" t="str">
        <x:v>ok</x:v>
      </x:c>
      <x:c r="F380" s="15" t="n">
        <x:v>8592</x:v>
      </x:c>
      <x:c r="G380" s="15" t="n">
        <x:v>478</x:v>
      </x:c>
      <x:c r="H380" s="15" t="n">
        <x:v>8114</x:v>
      </x:c>
      <x:c r="I380" s="15" t="n">
        <x:v>5141</x:v>
      </x:c>
      <x:c r="J380" s="15" t="n">
        <x:v>2156</x:v>
      </x:c>
      <x:c r="K380" s="15" t="n">
        <x:v>63.359625</x:v>
      </x:c>
      <x:c r="L380" s="15" t="n">
        <x:v>26.571358</x:v>
      </x:c>
      <x:c r="M380" s="15" t="n">
        <x:v>5.563315</x:v>
      </x:c>
      <x:c r="N380" s="15" t="n">
        <x:v>8592</x:v>
      </x:c>
      <x:c r="O380" s="15" t="n">
        <x:v>1332</x:v>
      </x:c>
      <x:c r="P380" s="15" t="n">
        <x:v>455</x:v>
      </x:c>
      <x:c r="Q380" s="15" t="n">
        <x:v>227</x:v>
      </x:c>
      <x:c r="R380" s="15" t="n">
        <x:v>405</x:v>
      </x:c>
      <x:c r="S380" s="15" t="n">
        <x:v>343</x:v>
      </x:c>
      <x:c r="T380" s="15" t="n">
        <x:v>786</x:v>
      </x:c>
      <x:c r="U380" s="15" t="n">
        <x:v>512</x:v>
      </x:c>
      <x:c r="V380" s="15" t="n">
        <x:v>598</x:v>
      </x:c>
      <x:c r="W380" s="15" t="n">
        <x:v>393</x:v>
      </x:c>
      <x:c r="X380" s="15" t="n">
        <x:v>729</x:v>
      </x:c>
      <x:c r="Y380" s="15" t="n">
        <x:v>426</x:v>
      </x:c>
      <x:c r="Z380" s="15" t="n">
        <x:v>783</x:v>
      </x:c>
      <x:c r="AA380" s="15" t="n">
        <x:v>566</x:v>
      </x:c>
      <x:c r="AB380" s="15" t="n">
        <x:v>565</x:v>
      </x:c>
      <x:c r="AC380" s="15" t="n">
        <x:v>498</x:v>
      </x:c>
      <x:c r="AD380" s="15" t="n">
        <x:v>1637</x:v>
      </x:c>
      <x:c r="AE380" s="15" t="n">
        <x:v>779</x:v>
      </x:c>
      <x:c r="AF380" s="15" t="n">
        <x:v>2156</x:v>
      </x:c>
      <x:c r="AG380" s="15" t="n">
        <x:v>892</x:v>
      </x:c>
      <x:c r="AH380" s="15" t="n">
        <x:v>478</x:v>
      </x:c>
      <x:c r="AI380" s="15" t="n">
        <x:v>337</x:v>
      </x:c>
    </x:row>
    <x:row r="381" ht="22" customHeight="1">
      <x:c r="A381" s="1" t="str">
        <x:v>310M700US47580</x:v>
      </x:c>
      <x:c r="B381" s="1" t="str">
        <x:v>47580</x:v>
      </x:c>
      <x:c r="C381" s="1" t="str">
        <x:v>Warner Robins, GA Metro Area</x:v>
      </x:c>
      <x:c r="D381" s="5" t="n">
        <x:v>2024</x:v>
      </x:c>
      <x:c r="E381" s="1" t="str">
        <x:v>ok</x:v>
      </x:c>
      <x:c r="F381" s="15" t="n">
        <x:v>28298</x:v>
      </x:c>
      <x:c r="G381" s="15" t="n">
        <x:v>3249</x:v>
      </x:c>
      <x:c r="H381" s="15" t="n">
        <x:v>25049</x:v>
      </x:c>
      <x:c r="I381" s="15" t="n">
        <x:v>11971</x:v>
      </x:c>
      <x:c r="J381" s="15" t="n">
        <x:v>5904</x:v>
      </x:c>
      <x:c r="K381" s="15" t="n">
        <x:v>47.790331</x:v>
      </x:c>
      <x:c r="L381" s="15" t="n">
        <x:v>23.569803</x:v>
      </x:c>
      <x:c r="M381" s="15" t="n">
        <x:v>11.481377</x:v>
      </x:c>
      <x:c r="N381" s="15" t="n">
        <x:v>28298</x:v>
      </x:c>
      <x:c r="O381" s="15" t="n">
        <x:v>2903</x:v>
      </x:c>
      <x:c r="P381" s="15" t="n">
        <x:v>781</x:v>
      </x:c>
      <x:c r="Q381" s="15" t="n">
        <x:v>601</x:v>
      </x:c>
      <x:c r="R381" s="15" t="n">
        <x:v>2832</x:v>
      </x:c>
      <x:c r="S381" s="15" t="n">
        <x:v>1390</x:v>
      </x:c>
      <x:c r="T381" s="15" t="n">
        <x:v>3363</x:v>
      </x:c>
      <x:c r="U381" s="15" t="n">
        <x:v>1295</x:v>
      </x:c>
      <x:c r="V381" s="15" t="n">
        <x:v>3621</x:v>
      </x:c>
      <x:c r="W381" s="15" t="n">
        <x:v>1247</x:v>
      </x:c>
      <x:c r="X381" s="15" t="n">
        <x:v>2481</x:v>
      </x:c>
      <x:c r="Y381" s="15" t="n">
        <x:v>1138</x:v>
      </x:c>
      <x:c r="Z381" s="15" t="n">
        <x:v>1502</x:v>
      </x:c>
      <x:c r="AA381" s="15" t="n">
        <x:v>634</x:v>
      </x:c>
      <x:c r="AB381" s="15" t="n">
        <x:v>1121</x:v>
      </x:c>
      <x:c r="AC381" s="15" t="n">
        <x:v>545</x:v>
      </x:c>
      <x:c r="AD381" s="15" t="n">
        <x:v>3444</x:v>
      </x:c>
      <x:c r="AE381" s="15" t="n">
        <x:v>1654</x:v>
      </x:c>
      <x:c r="AF381" s="15" t="n">
        <x:v>5904</x:v>
      </x:c>
      <x:c r="AG381" s="15" t="n">
        <x:v>1682</x:v>
      </x:c>
      <x:c r="AH381" s="15" t="n">
        <x:v>3249</x:v>
      </x:c>
      <x:c r="AI381" s="15" t="n">
        <x:v>1166</x:v>
      </x:c>
    </x:row>
    <x:row r="382" ht="22" customHeight="1">
      <x:c r="A382" s="1" t="str">
        <x:v>310M700US47900</x:v>
      </x:c>
      <x:c r="B382" s="1" t="str">
        <x:v>47900</x:v>
      </x:c>
      <x:c r="C382" s="1" t="str">
        <x:v>Washington-Arlington-Alexandria, DC-VA-MD-WV Metro Area</x:v>
      </x:c>
      <x:c r="D382" s="5" t="n">
        <x:v>2024</x:v>
      </x:c>
      <x:c r="E382" s="1" t="str">
        <x:v>ok</x:v>
      </x:c>
      <x:c r="F382" s="15" t="n">
        <x:v>884329</x:v>
      </x:c>
      <x:c r="G382" s="15" t="n">
        <x:v>40790</x:v>
      </x:c>
      <x:c r="H382" s="15" t="n">
        <x:v>843539</x:v>
      </x:c>
      <x:c r="I382" s="15" t="n">
        <x:v>407996</x:v>
      </x:c>
      <x:c r="J382" s="15" t="n">
        <x:v>198426</x:v>
      </x:c>
      <x:c r="K382" s="15" t="n">
        <x:v>48.367177</x:v>
      </x:c>
      <x:c r="L382" s="15" t="n">
        <x:v>23.523038</x:v>
      </x:c>
      <x:c r="M382" s="15" t="n">
        <x:v>4.612537</x:v>
      </x:c>
      <x:c r="N382" s="15" t="n">
        <x:v>884329</x:v>
      </x:c>
      <x:c r="O382" s="15" t="n">
        <x:v>12665</x:v>
      </x:c>
      <x:c r="P382" s="15" t="n">
        <x:v>29778</x:v>
      </x:c>
      <x:c r="Q382" s="15" t="n">
        <x:v>3804</x:v>
      </x:c>
      <x:c r="R382" s="15" t="n">
        <x:v>76611</x:v>
      </x:c>
      <x:c r="S382" s="15" t="n">
        <x:v>5759</x:v>
      </x:c>
      <x:c r="T382" s="15" t="n">
        <x:v>115065</x:v>
      </x:c>
      <x:c r="U382" s="15" t="n">
        <x:v>6951</x:v>
      </x:c>
      <x:c r="V382" s="15" t="n">
        <x:v>111667</x:v>
      </x:c>
      <x:c r="W382" s="15" t="n">
        <x:v>5767</x:v>
      </x:c>
      <x:c r="X382" s="15" t="n">
        <x:v>102422</x:v>
      </x:c>
      <x:c r="Y382" s="15" t="n">
        <x:v>6823</x:v>
      </x:c>
      <x:c r="Z382" s="15" t="n">
        <x:v>81698</x:v>
      </x:c>
      <x:c r="AA382" s="15" t="n">
        <x:v>5741</x:v>
      </x:c>
      <x:c r="AB382" s="15" t="n">
        <x:v>56423</x:v>
      </x:c>
      <x:c r="AC382" s="15" t="n">
        <x:v>5141</x:v>
      </x:c>
      <x:c r="AD382" s="15" t="n">
        <x:v>71449</x:v>
      </x:c>
      <x:c r="AE382" s="15" t="n">
        <x:v>6153</x:v>
      </x:c>
      <x:c r="AF382" s="15" t="n">
        <x:v>198426</x:v>
      </x:c>
      <x:c r="AG382" s="15" t="n">
        <x:v>9191</x:v>
      </x:c>
      <x:c r="AH382" s="15" t="n">
        <x:v>40790</x:v>
      </x:c>
      <x:c r="AI382" s="15" t="n">
        <x:v>4385</x:v>
      </x:c>
    </x:row>
    <x:row r="383" ht="22" customHeight="1">
      <x:c r="A383" s="1" t="str">
        <x:v>310M700US47930</x:v>
      </x:c>
      <x:c r="B383" s="1" t="str">
        <x:v>47930</x:v>
      </x:c>
      <x:c r="C383" s="1" t="str">
        <x:v>Waterbury-Shelton, CT Metro Area</x:v>
      </x:c>
      <x:c r="D383" s="5" t="n">
        <x:v>2024</x:v>
      </x:c>
      <x:c r="E383" s="1" t="str">
        <x:v>ok</x:v>
      </x:c>
      <x:c r="F383" s="15" t="n">
        <x:v>57376</x:v>
      </x:c>
      <x:c r="G383" s="15" t="n">
        <x:v>4959</x:v>
      </x:c>
      <x:c r="H383" s="15" t="n">
        <x:v>52417</x:v>
      </x:c>
      <x:c r="I383" s="15" t="n">
        <x:v>32114</x:v>
      </x:c>
      <x:c r="J383" s="15" t="n">
        <x:v>16511</x:v>
      </x:c>
      <x:c r="K383" s="15" t="n">
        <x:v>61.266383</x:v>
      </x:c>
      <x:c r="L383" s="15" t="n">
        <x:v>31.499323</x:v>
      </x:c>
      <x:c r="M383" s="15" t="n">
        <x:v>8.642987</x:v>
      </x:c>
      <x:c r="N383" s="15" t="n">
        <x:v>57376</x:v>
      </x:c>
      <x:c r="O383" s="15" t="n">
        <x:v>3547</x:v>
      </x:c>
      <x:c r="P383" s="15" t="n">
        <x:v>1967</x:v>
      </x:c>
      <x:c r="Q383" s="15" t="n">
        <x:v>1123</x:v>
      </x:c>
      <x:c r="R383" s="15" t="n">
        <x:v>3253</x:v>
      </x:c>
      <x:c r="S383" s="15" t="n">
        <x:v>1334</x:v>
      </x:c>
      <x:c r="T383" s="15" t="n">
        <x:v>3459</x:v>
      </x:c>
      <x:c r="U383" s="15" t="n">
        <x:v>1113</x:v>
      </x:c>
      <x:c r="V383" s="15" t="n">
        <x:v>3976</x:v>
      </x:c>
      <x:c r="W383" s="15" t="n">
        <x:v>1351</x:v>
      </x:c>
      <x:c r="X383" s="15" t="n">
        <x:v>7648</x:v>
      </x:c>
      <x:c r="Y383" s="15" t="n">
        <x:v>2294</x:v>
      </x:c>
      <x:c r="Z383" s="15" t="n">
        <x:v>6045</x:v>
      </x:c>
      <x:c r="AA383" s="15" t="n">
        <x:v>1846</x:v>
      </x:c>
      <x:c r="AB383" s="15" t="n">
        <x:v>3951</x:v>
      </x:c>
      <x:c r="AC383" s="15" t="n">
        <x:v>1433</x:v>
      </x:c>
      <x:c r="AD383" s="15" t="n">
        <x:v>5607</x:v>
      </x:c>
      <x:c r="AE383" s="15" t="n">
        <x:v>1759</x:v>
      </x:c>
      <x:c r="AF383" s="15" t="n">
        <x:v>16511</x:v>
      </x:c>
      <x:c r="AG383" s="15" t="n">
        <x:v>3122</x:v>
      </x:c>
      <x:c r="AH383" s="15" t="n">
        <x:v>4959</x:v>
      </x:c>
      <x:c r="AI383" s="15" t="n">
        <x:v>1724</x:v>
      </x:c>
    </x:row>
    <x:row r="384" ht="22" customHeight="1">
      <x:c r="A384" s="1" t="str">
        <x:v>310M700US47940</x:v>
      </x:c>
      <x:c r="B384" s="1" t="str">
        <x:v>47940</x:v>
      </x:c>
      <x:c r="C384" s="1" t="str">
        <x:v>Waterloo-Cedar Falls, IA Metro Area</x:v>
      </x:c>
      <x:c r="D384" s="5" t="n">
        <x:v>2024</x:v>
      </x:c>
      <x:c r="E384" s="1" t="str">
        <x:v>ok</x:v>
      </x:c>
      <x:c r="F384" s="15" t="n">
        <x:v>20301</x:v>
      </x:c>
      <x:c r="G384" s="15" t="n">
        <x:v>1201</x:v>
      </x:c>
      <x:c r="H384" s="15" t="n">
        <x:v>19100</x:v>
      </x:c>
      <x:c r="I384" s="15" t="n">
        <x:v>8907</x:v>
      </x:c>
      <x:c r="J384" s="15" t="n">
        <x:v>4815</x:v>
      </x:c>
      <x:c r="K384" s="15" t="n">
        <x:v>46.633508</x:v>
      </x:c>
      <x:c r="L384" s="15" t="n">
        <x:v>25.209424</x:v>
      </x:c>
      <x:c r="M384" s="15" t="n">
        <x:v>5.915965</x:v>
      </x:c>
      <x:c r="N384" s="15" t="n">
        <x:v>20301</x:v>
      </x:c>
      <x:c r="O384" s="15" t="n">
        <x:v>1531</x:v>
      </x:c>
      <x:c r="P384" s="15" t="n">
        <x:v>339</x:v>
      </x:c>
      <x:c r="Q384" s="15" t="n">
        <x:v>211</x:v>
      </x:c>
      <x:c r="R384" s="15" t="n">
        <x:v>1980</x:v>
      </x:c>
      <x:c r="S384" s="15" t="n">
        <x:v>794</x:v>
      </x:c>
      <x:c r="T384" s="15" t="n">
        <x:v>3425</x:v>
      </x:c>
      <x:c r="U384" s="15" t="n">
        <x:v>1012</x:v>
      </x:c>
      <x:c r="V384" s="15" t="n">
        <x:v>1663</x:v>
      </x:c>
      <x:c r="W384" s="15" t="n">
        <x:v>686</x:v>
      </x:c>
      <x:c r="X384" s="15" t="n">
        <x:v>2786</x:v>
      </x:c>
      <x:c r="Y384" s="15" t="n">
        <x:v>928</x:v>
      </x:c>
      <x:c r="Z384" s="15" t="n">
        <x:v>1346</x:v>
      </x:c>
      <x:c r="AA384" s="15" t="n">
        <x:v>497</x:v>
      </x:c>
      <x:c r="AB384" s="15" t="n">
        <x:v>576</x:v>
      </x:c>
      <x:c r="AC384" s="15" t="n">
        <x:v>375</x:v>
      </x:c>
      <x:c r="AD384" s="15" t="n">
        <x:v>2170</x:v>
      </x:c>
      <x:c r="AE384" s="15" t="n">
        <x:v>742</x:v>
      </x:c>
      <x:c r="AF384" s="15" t="n">
        <x:v>4815</x:v>
      </x:c>
      <x:c r="AG384" s="15" t="n">
        <x:v>1223</x:v>
      </x:c>
      <x:c r="AH384" s="15" t="n">
        <x:v>1201</x:v>
      </x:c>
      <x:c r="AI384" s="15" t="n">
        <x:v>499</x:v>
      </x:c>
    </x:row>
    <x:row r="385" ht="22" customHeight="1">
      <x:c r="A385" s="1" t="str">
        <x:v>310M700US48060</x:v>
      </x:c>
      <x:c r="B385" s="1" t="str">
        <x:v>48060</x:v>
      </x:c>
      <x:c r="C385" s="1" t="str">
        <x:v>Watertown-Fort Drum, NY Metro Area</x:v>
      </x:c>
      <x:c r="D385" s="5" t="n">
        <x:v>2024</x:v>
      </x:c>
      <x:c r="E385" s="1" t="str">
        <x:v>ok</x:v>
      </x:c>
      <x:c r="F385" s="15" t="n">
        <x:v>19978</x:v>
      </x:c>
      <x:c r="G385" s="15" t="n">
        <x:v>1353</x:v>
      </x:c>
      <x:c r="H385" s="15" t="n">
        <x:v>18625</x:v>
      </x:c>
      <x:c r="I385" s="15" t="n">
        <x:v>9164</x:v>
      </x:c>
      <x:c r="J385" s="15" t="n">
        <x:v>5642</x:v>
      </x:c>
      <x:c r="K385" s="15" t="n">
        <x:v>49.202685</x:v>
      </x:c>
      <x:c r="L385" s="15" t="n">
        <x:v>30.292617</x:v>
      </x:c>
      <x:c r="M385" s="15" t="n">
        <x:v>6.77245</x:v>
      </x:c>
      <x:c r="N385" s="15" t="n">
        <x:v>19978</x:v>
      </x:c>
      <x:c r="O385" s="15" t="n">
        <x:v>1510</x:v>
      </x:c>
      <x:c r="P385" s="15" t="n">
        <x:v>558</x:v>
      </x:c>
      <x:c r="Q385" s="15" t="n">
        <x:v>313</x:v>
      </x:c>
      <x:c r="R385" s="15" t="n">
        <x:v>1330</x:v>
      </x:c>
      <x:c r="S385" s="15" t="n">
        <x:v>649</x:v>
      </x:c>
      <x:c r="T385" s="15" t="n">
        <x:v>2357</x:v>
      </x:c>
      <x:c r="U385" s="15" t="n">
        <x:v>896</x:v>
      </x:c>
      <x:c r="V385" s="15" t="n">
        <x:v>2416</x:v>
      </x:c>
      <x:c r="W385" s="15" t="n">
        <x:v>1036</x:v>
      </x:c>
      <x:c r="X385" s="15" t="n">
        <x:v>2800</x:v>
      </x:c>
      <x:c r="Y385" s="15" t="n">
        <x:v>955</x:v>
      </x:c>
      <x:c r="Z385" s="15" t="n">
        <x:v>1509</x:v>
      </x:c>
      <x:c r="AA385" s="15" t="n">
        <x:v>696</x:v>
      </x:c>
      <x:c r="AB385" s="15" t="n">
        <x:v>755</x:v>
      </x:c>
      <x:c r="AC385" s="15" t="n">
        <x:v>489</x:v>
      </x:c>
      <x:c r="AD385" s="15" t="n">
        <x:v>1258</x:v>
      </x:c>
      <x:c r="AE385" s="15" t="n">
        <x:v>639</x:v>
      </x:c>
      <x:c r="AF385" s="15" t="n">
        <x:v>5642</x:v>
      </x:c>
      <x:c r="AG385" s="15" t="n">
        <x:v>1435</x:v>
      </x:c>
      <x:c r="AH385" s="15" t="n">
        <x:v>1353</x:v>
      </x:c>
      <x:c r="AI385" s="15" t="n">
        <x:v>613</x:v>
      </x:c>
    </x:row>
    <x:row r="386" ht="22" customHeight="1">
      <x:c r="A386" s="1" t="str">
        <x:v>310M700US48140</x:v>
      </x:c>
      <x:c r="B386" s="1" t="str">
        <x:v>48140</x:v>
      </x:c>
      <x:c r="C386" s="1" t="str">
        <x:v>Wausau, WI Metro Area</x:v>
      </x:c>
      <x:c r="D386" s="5" t="n">
        <x:v>2024</x:v>
      </x:c>
      <x:c r="E386" s="1" t="str">
        <x:v>ok</x:v>
      </x:c>
      <x:c r="F386" s="15" t="n">
        <x:v>15506</x:v>
      </x:c>
      <x:c r="G386" s="15" t="n">
        <x:v>1444</x:v>
      </x:c>
      <x:c r="H386" s="15" t="n">
        <x:v>14062</x:v>
      </x:c>
      <x:c r="I386" s="15" t="n">
        <x:v>4957</x:v>
      </x:c>
      <x:c r="J386" s="15" t="n">
        <x:v>1869</x:v>
      </x:c>
      <x:c r="K386" s="15" t="n">
        <x:v>35.251031</x:v>
      </x:c>
      <x:c r="L386" s="15" t="n">
        <x:v>13.291139</x:v>
      </x:c>
      <x:c r="M386" s="15" t="n">
        <x:v>9.312524</x:v>
      </x:c>
      <x:c r="N386" s="15" t="n">
        <x:v>15506</x:v>
      </x:c>
      <x:c r="O386" s="15" t="n">
        <x:v>1488</x:v>
      </x:c>
      <x:c r="P386" s="15" t="n">
        <x:v>734</x:v>
      </x:c>
      <x:c r="Q386" s="15" t="n">
        <x:v>341</x:v>
      </x:c>
      <x:c r="R386" s="15" t="n">
        <x:v>2116</x:v>
      </x:c>
      <x:c r="S386" s="15" t="n">
        <x:v>831</x:v>
      </x:c>
      <x:c r="T386" s="15" t="n">
        <x:v>3557</x:v>
      </x:c>
      <x:c r="U386" s="15" t="n">
        <x:v>1354</x:v>
      </x:c>
      <x:c r="V386" s="15" t="n">
        <x:v>1253</x:v>
      </x:c>
      <x:c r="W386" s="15" t="n">
        <x:v>571</x:v>
      </x:c>
      <x:c r="X386" s="15" t="n">
        <x:v>1445</x:v>
      </x:c>
      <x:c r="Y386" s="15" t="n">
        <x:v>613</x:v>
      </x:c>
      <x:c r="Z386" s="15" t="n">
        <x:v>1244</x:v>
      </x:c>
      <x:c r="AA386" s="15" t="n">
        <x:v>678</x:v>
      </x:c>
      <x:c r="AB386" s="15" t="n">
        <x:v>546</x:v>
      </x:c>
      <x:c r="AC386" s="15" t="n">
        <x:v>321</x:v>
      </x:c>
      <x:c r="AD386" s="15" t="n">
        <x:v>1298</x:v>
      </x:c>
      <x:c r="AE386" s="15" t="n">
        <x:v>548</x:v>
      </x:c>
      <x:c r="AF386" s="15" t="n">
        <x:v>1869</x:v>
      </x:c>
      <x:c r="AG386" s="15" t="n">
        <x:v>682</x:v>
      </x:c>
      <x:c r="AH386" s="15" t="n">
        <x:v>1444</x:v>
      </x:c>
      <x:c r="AI386" s="15" t="n">
        <x:v>602</x:v>
      </x:c>
    </x:row>
    <x:row r="387" ht="22" customHeight="1">
      <x:c r="A387" s="1" t="str">
        <x:v>310M700US48260</x:v>
      </x:c>
      <x:c r="B387" s="1" t="str">
        <x:v>48260</x:v>
      </x:c>
      <x:c r="C387" s="1" t="str">
        <x:v>Weirton-Steubenville, WV-OH Metro Area</x:v>
      </x:c>
      <x:c r="D387" s="5" t="n">
        <x:v>2024</x:v>
      </x:c>
      <x:c r="E387" s="1" t="str">
        <x:v>ok</x:v>
      </x:c>
      <x:c r="F387" s="15" t="n">
        <x:v>13734</x:v>
      </x:c>
      <x:c r="G387" s="15" t="n">
        <x:v>2695</x:v>
      </x:c>
      <x:c r="H387" s="15" t="n">
        <x:v>11039</x:v>
      </x:c>
      <x:c r="I387" s="15" t="n">
        <x:v>4173</x:v>
      </x:c>
      <x:c r="J387" s="15" t="n">
        <x:v>1122</x:v>
      </x:c>
      <x:c r="K387" s="15" t="n">
        <x:v>37.802337</x:v>
      </x:c>
      <x:c r="L387" s="15" t="n">
        <x:v>10.163964</x:v>
      </x:c>
      <x:c r="M387" s="15" t="n">
        <x:v>19.622834</x:v>
      </x:c>
      <x:c r="N387" s="15" t="n">
        <x:v>13734</x:v>
      </x:c>
      <x:c r="O387" s="15" t="n">
        <x:v>1475</x:v>
      </x:c>
      <x:c r="P387" s="15" t="n">
        <x:v>1226</x:v>
      </x:c>
      <x:c r="Q387" s="15" t="n">
        <x:v>736</x:v>
      </x:c>
      <x:c r="R387" s="15" t="n">
        <x:v>1382</x:v>
      </x:c>
      <x:c r="S387" s="15" t="n">
        <x:v>572</x:v>
      </x:c>
      <x:c r="T387" s="15" t="n">
        <x:v>1372</x:v>
      </x:c>
      <x:c r="U387" s="15" t="n">
        <x:v>516</x:v>
      </x:c>
      <x:c r="V387" s="15" t="n">
        <x:v>1638</x:v>
      </x:c>
      <x:c r="W387" s="15" t="n">
        <x:v>632</x:v>
      </x:c>
      <x:c r="X387" s="15" t="n">
        <x:v>1248</x:v>
      </x:c>
      <x:c r="Y387" s="15" t="n">
        <x:v>547</x:v>
      </x:c>
      <x:c r="Z387" s="15" t="n">
        <x:v>949</x:v>
      </x:c>
      <x:c r="AA387" s="15" t="n">
        <x:v>539</x:v>
      </x:c>
      <x:c r="AB387" s="15" t="n">
        <x:v>1103</x:v>
      </x:c>
      <x:c r="AC387" s="15" t="n">
        <x:v>469</x:v>
      </x:c>
      <x:c r="AD387" s="15" t="n">
        <x:v>999</x:v>
      </x:c>
      <x:c r="AE387" s="15" t="n">
        <x:v>633</x:v>
      </x:c>
      <x:c r="AF387" s="15" t="n">
        <x:v>1122</x:v>
      </x:c>
      <x:c r="AG387" s="15" t="n">
        <x:v>636</x:v>
      </x:c>
      <x:c r="AH387" s="15" t="n">
        <x:v>2695</x:v>
      </x:c>
      <x:c r="AI387" s="15" t="n">
        <x:v>803</x:v>
      </x:c>
    </x:row>
    <x:row r="388" ht="22" customHeight="1">
      <x:c r="A388" s="1" t="str">
        <x:v>310M700US48300</x:v>
      </x:c>
      <x:c r="B388" s="1" t="str">
        <x:v>48300</x:v>
      </x:c>
      <x:c r="C388" s="1" t="str">
        <x:v>Wenatchee-East Wenatchee, WA Metro Area</x:v>
      </x:c>
      <x:c r="D388" s="5" t="n">
        <x:v>2024</x:v>
      </x:c>
      <x:c r="E388" s="1" t="str">
        <x:v>ok</x:v>
      </x:c>
      <x:c r="F388" s="15" t="n">
        <x:v>14620</x:v>
      </x:c>
      <x:c r="G388" s="15" t="n">
        <x:v>1997</x:v>
      </x:c>
      <x:c r="H388" s="15" t="n">
        <x:v>12623</x:v>
      </x:c>
      <x:c r="I388" s="15" t="n">
        <x:v>6089</x:v>
      </x:c>
      <x:c r="J388" s="15" t="n">
        <x:v>3009</x:v>
      </x:c>
      <x:c r="K388" s="15" t="n">
        <x:v>48.237345</x:v>
      </x:c>
      <x:c r="L388" s="15" t="n">
        <x:v>23.83744</x:v>
      </x:c>
      <x:c r="M388" s="15" t="n">
        <x:v>13.659371</x:v>
      </x:c>
      <x:c r="N388" s="15" t="n">
        <x:v>14620</x:v>
      </x:c>
      <x:c r="O388" s="15" t="n">
        <x:v>1855</x:v>
      </x:c>
      <x:c r="P388" s="15" t="n">
        <x:v>494</x:v>
      </x:c>
      <x:c r="Q388" s="15" t="n">
        <x:v>352</x:v>
      </x:c>
      <x:c r="R388" s="15" t="n">
        <x:v>1006</x:v>
      </x:c>
      <x:c r="S388" s="15" t="n">
        <x:v>451</x:v>
      </x:c>
      <x:c r="T388" s="15" t="n">
        <x:v>976</x:v>
      </x:c>
      <x:c r="U388" s="15" t="n">
        <x:v>518</x:v>
      </x:c>
      <x:c r="V388" s="15" t="n">
        <x:v>2579</x:v>
      </x:c>
      <x:c r="W388" s="15" t="n">
        <x:v>889</x:v>
      </x:c>
      <x:c r="X388" s="15" t="n">
        <x:v>1479</x:v>
      </x:c>
      <x:c r="Y388" s="15" t="n">
        <x:v>685</x:v>
      </x:c>
      <x:c r="Z388" s="15" t="n">
        <x:v>1209</x:v>
      </x:c>
      <x:c r="AA388" s="15" t="n">
        <x:v>594</x:v>
      </x:c>
      <x:c r="AB388" s="15" t="n">
        <x:v>1323</x:v>
      </x:c>
      <x:c r="AC388" s="15" t="n">
        <x:v>815</x:v>
      </x:c>
      <x:c r="AD388" s="15" t="n">
        <x:v>548</x:v>
      </x:c>
      <x:c r="AE388" s="15" t="n">
        <x:v>426</x:v>
      </x:c>
      <x:c r="AF388" s="15" t="n">
        <x:v>3009</x:v>
      </x:c>
      <x:c r="AG388" s="15" t="n">
        <x:v>921</x:v>
      </x:c>
      <x:c r="AH388" s="15" t="n">
        <x:v>1997</x:v>
      </x:c>
      <x:c r="AI388" s="15" t="n">
        <x:v>877</x:v>
      </x:c>
    </x:row>
    <x:row r="389" ht="22" customHeight="1">
      <x:c r="A389" s="1" t="str">
        <x:v>310M700US48540</x:v>
      </x:c>
      <x:c r="B389" s="1" t="str">
        <x:v>48540</x:v>
      </x:c>
      <x:c r="C389" s="1" t="str">
        <x:v>Wheeling, WV-OH Metro Area</x:v>
      </x:c>
      <x:c r="D389" s="5" t="n">
        <x:v>2024</x:v>
      </x:c>
      <x:c r="E389" s="1" t="str">
        <x:v>ok</x:v>
      </x:c>
      <x:c r="F389" s="15" t="n">
        <x:v>16470</x:v>
      </x:c>
      <x:c r="G389" s="15" t="n">
        <x:v>2522</x:v>
      </x:c>
      <x:c r="H389" s="15" t="n">
        <x:v>13948</x:v>
      </x:c>
      <x:c r="I389" s="15" t="n">
        <x:v>6268</x:v>
      </x:c>
      <x:c r="J389" s="15" t="n">
        <x:v>3337</x:v>
      </x:c>
      <x:c r="K389" s="15" t="n">
        <x:v>44.938342</x:v>
      </x:c>
      <x:c r="L389" s="15" t="n">
        <x:v>23.924577</x:v>
      </x:c>
      <x:c r="M389" s="15" t="n">
        <x:v>15.31269</x:v>
      </x:c>
      <x:c r="N389" s="15" t="n">
        <x:v>16470</x:v>
      </x:c>
      <x:c r="O389" s="15" t="n">
        <x:v>1994</x:v>
      </x:c>
      <x:c r="P389" s="15" t="n">
        <x:v>1166</x:v>
      </x:c>
      <x:c r="Q389" s="15" t="n">
        <x:v>618</x:v>
      </x:c>
      <x:c r="R389" s="15" t="n">
        <x:v>1710</x:v>
      </x:c>
      <x:c r="S389" s="15" t="n">
        <x:v>599</x:v>
      </x:c>
      <x:c r="T389" s="15" t="n">
        <x:v>1280</x:v>
      </x:c>
      <x:c r="U389" s="15" t="n">
        <x:v>604</x:v>
      </x:c>
      <x:c r="V389" s="15" t="n">
        <x:v>1672</x:v>
      </x:c>
      <x:c r="W389" s="15" t="n">
        <x:v>519</x:v>
      </x:c>
      <x:c r="X389" s="15" t="n">
        <x:v>1852</x:v>
      </x:c>
      <x:c r="Y389" s="15" t="n">
        <x:v>722</x:v>
      </x:c>
      <x:c r="Z389" s="15" t="n">
        <x:v>1034</x:v>
      </x:c>
      <x:c r="AA389" s="15" t="n">
        <x:v>624</x:v>
      </x:c>
      <x:c r="AB389" s="15" t="n">
        <x:v>1178</x:v>
      </x:c>
      <x:c r="AC389" s="15" t="n">
        <x:v>619</x:v>
      </x:c>
      <x:c r="AD389" s="15" t="n">
        <x:v>719</x:v>
      </x:c>
      <x:c r="AE389" s="15" t="n">
        <x:v>363</x:v>
      </x:c>
      <x:c r="AF389" s="15" t="n">
        <x:v>3337</x:v>
      </x:c>
      <x:c r="AG389" s="15" t="n">
        <x:v>1089</x:v>
      </x:c>
      <x:c r="AH389" s="15" t="n">
        <x:v>2522</x:v>
      </x:c>
      <x:c r="AI389" s="15" t="n">
        <x:v>859</x:v>
      </x:c>
    </x:row>
    <x:row r="390" ht="22" customHeight="1">
      <x:c r="A390" s="1" t="str">
        <x:v>310M700US48660</x:v>
      </x:c>
      <x:c r="B390" s="1" t="str">
        <x:v>48660</x:v>
      </x:c>
      <x:c r="C390" s="1" t="str">
        <x:v>Wichita Falls, TX Metro Area</x:v>
      </x:c>
      <x:c r="D390" s="5" t="n">
        <x:v>2024</x:v>
      </x:c>
      <x:c r="E390" s="1" t="str">
        <x:v>ok</x:v>
      </x:c>
      <x:c r="F390" s="15" t="n">
        <x:v>20676</x:v>
      </x:c>
      <x:c r="G390" s="15" t="n">
        <x:v>2235</x:v>
      </x:c>
      <x:c r="H390" s="15" t="n">
        <x:v>18441</x:v>
      </x:c>
      <x:c r="I390" s="15" t="n">
        <x:v>8746</x:v>
      </x:c>
      <x:c r="J390" s="15" t="n">
        <x:v>4078</x:v>
      </x:c>
      <x:c r="K390" s="15" t="n">
        <x:v>47.426929</x:v>
      </x:c>
      <x:c r="L390" s="15" t="n">
        <x:v>22.113768</x:v>
      </x:c>
      <x:c r="M390" s="15" t="n">
        <x:v>10.809634</x:v>
      </x:c>
      <x:c r="N390" s="15" t="n">
        <x:v>20676</x:v>
      </x:c>
      <x:c r="O390" s="15" t="n">
        <x:v>1984</x:v>
      </x:c>
      <x:c r="P390" s="15" t="n">
        <x:v>451</x:v>
      </x:c>
      <x:c r="Q390" s="15" t="n">
        <x:v>266</x:v>
      </x:c>
      <x:c r="R390" s="15" t="n">
        <x:v>1956</x:v>
      </x:c>
      <x:c r="S390" s="15" t="n">
        <x:v>634</x:v>
      </x:c>
      <x:c r="T390" s="15" t="n">
        <x:v>2292</x:v>
      </x:c>
      <x:c r="U390" s="15" t="n">
        <x:v>1174</x:v>
      </x:c>
      <x:c r="V390" s="15" t="n">
        <x:v>2616</x:v>
      </x:c>
      <x:c r="W390" s="15" t="n">
        <x:v>812</x:v>
      </x:c>
      <x:c r="X390" s="15" t="n">
        <x:v>2380</x:v>
      </x:c>
      <x:c r="Y390" s="15" t="n">
        <x:v>884</x:v>
      </x:c>
      <x:c r="Z390" s="15" t="n">
        <x:v>2055</x:v>
      </x:c>
      <x:c r="AA390" s="15" t="n">
        <x:v>856</x:v>
      </x:c>
      <x:c r="AB390" s="15" t="n">
        <x:v>1019</x:v>
      </x:c>
      <x:c r="AC390" s="15" t="n">
        <x:v>602</x:v>
      </x:c>
      <x:c r="AD390" s="15" t="n">
        <x:v>1594</x:v>
      </x:c>
      <x:c r="AE390" s="15" t="n">
        <x:v>711</x:v>
      </x:c>
      <x:c r="AF390" s="15" t="n">
        <x:v>4078</x:v>
      </x:c>
      <x:c r="AG390" s="15" t="n">
        <x:v>877</x:v>
      </x:c>
      <x:c r="AH390" s="15" t="n">
        <x:v>2235</x:v>
      </x:c>
      <x:c r="AI390" s="15" t="n">
        <x:v>721</x:v>
      </x:c>
    </x:row>
    <x:row r="391" ht="22" customHeight="1">
      <x:c r="A391" s="1" t="str">
        <x:v>310M700US48620</x:v>
      </x:c>
      <x:c r="B391" s="1" t="str">
        <x:v>48620</x:v>
      </x:c>
      <x:c r="C391" s="1" t="str">
        <x:v>Wichita, KS Metro Area</x:v>
      </x:c>
      <x:c r="D391" s="5" t="n">
        <x:v>2024</x:v>
      </x:c>
      <x:c r="E391" s="1" t="str">
        <x:v>ok</x:v>
      </x:c>
      <x:c r="F391" s="15" t="n">
        <x:v>87089</x:v>
      </x:c>
      <x:c r="G391" s="15" t="n">
        <x:v>7098</x:v>
      </x:c>
      <x:c r="H391" s="15" t="n">
        <x:v>79991</x:v>
      </x:c>
      <x:c r="I391" s="15" t="n">
        <x:v>34348</x:v>
      </x:c>
      <x:c r="J391" s="15" t="n">
        <x:v>15840</x:v>
      </x:c>
      <x:c r="K391" s="15" t="n">
        <x:v>42.939831</x:v>
      </x:c>
      <x:c r="L391" s="15" t="n">
        <x:v>19.802228</x:v>
      </x:c>
      <x:c r="M391" s="15" t="n">
        <x:v>8.150283</x:v>
      </x:c>
      <x:c r="N391" s="15" t="n">
        <x:v>87089</x:v>
      </x:c>
      <x:c r="O391" s="15" t="n">
        <x:v>4078</x:v>
      </x:c>
      <x:c r="P391" s="15" t="n">
        <x:v>3481</x:v>
      </x:c>
      <x:c r="Q391" s="15" t="n">
        <x:v>1116</x:v>
      </x:c>
      <x:c r="R391" s="15" t="n">
        <x:v>9139</x:v>
      </x:c>
      <x:c r="S391" s="15" t="n">
        <x:v>1567</x:v>
      </x:c>
      <x:c r="T391" s="15" t="n">
        <x:v>11379</x:v>
      </x:c>
      <x:c r="U391" s="15" t="n">
        <x:v>1952</x:v>
      </x:c>
      <x:c r="V391" s="15" t="n">
        <x:v>12604</x:v>
      </x:c>
      <x:c r="W391" s="15" t="n">
        <x:v>2195</x:v>
      </x:c>
      <x:c r="X391" s="15" t="n">
        <x:v>9040</x:v>
      </x:c>
      <x:c r="Y391" s="15" t="n">
        <x:v>1629</x:v>
      </x:c>
      <x:c r="Z391" s="15" t="n">
        <x:v>8925</x:v>
      </x:c>
      <x:c r="AA391" s="15" t="n">
        <x:v>1816</x:v>
      </x:c>
      <x:c r="AB391" s="15" t="n">
        <x:v>4236</x:v>
      </x:c>
      <x:c r="AC391" s="15" t="n">
        <x:v>1212</x:v>
      </x:c>
      <x:c r="AD391" s="15" t="n">
        <x:v>5347</x:v>
      </x:c>
      <x:c r="AE391" s="15" t="n">
        <x:v>1303</x:v>
      </x:c>
      <x:c r="AF391" s="15" t="n">
        <x:v>15840</x:v>
      </x:c>
      <x:c r="AG391" s="15" t="n">
        <x:v>2545</x:v>
      </x:c>
      <x:c r="AH391" s="15" t="n">
        <x:v>7098</x:v>
      </x:c>
      <x:c r="AI391" s="15" t="n">
        <x:v>1738</x:v>
      </x:c>
    </x:row>
    <x:row r="392" ht="22" customHeight="1">
      <x:c r="A392" s="1" t="str">
        <x:v>310M700US48680</x:v>
      </x:c>
      <x:c r="B392" s="1" t="str">
        <x:v>48680</x:v>
      </x:c>
      <x:c r="C392" s="1" t="str">
        <x:v>Wildwood-The Villages, FL Metro Area</x:v>
      </x:c>
      <x:c r="D392" s="5" t="n">
        <x:v>2024</x:v>
      </x:c>
      <x:c r="E392" s="1" t="str">
        <x:v>ok</x:v>
      </x:c>
      <x:c r="F392" s="15" t="n">
        <x:v>11636</x:v>
      </x:c>
      <x:c r="G392" s="15" t="n">
        <x:v>3155</x:v>
      </x:c>
      <x:c r="H392" s="15" t="n">
        <x:v>8481</x:v>
      </x:c>
      <x:c r="I392" s="15" t="n">
        <x:v>5367</x:v>
      </x:c>
      <x:c r="J392" s="15" t="n">
        <x:v>3576</x:v>
      </x:c>
      <x:c r="K392" s="15" t="n">
        <x:v>63.282632</x:v>
      </x:c>
      <x:c r="L392" s="15" t="n">
        <x:v>42.164839</x:v>
      </x:c>
      <x:c r="M392" s="15" t="n">
        <x:v>27.114129</x:v>
      </x:c>
      <x:c r="N392" s="15" t="n">
        <x:v>11636</x:v>
      </x:c>
      <x:c r="O392" s="15" t="n">
        <x:v>2446</x:v>
      </x:c>
      <x:c r="P392" s="15" t="n">
        <x:v>172</x:v>
      </x:c>
      <x:c r="Q392" s="15" t="n">
        <x:v>267</x:v>
      </x:c>
      <x:c r="R392" s="15" t="n">
        <x:v>371</x:v>
      </x:c>
      <x:c r="S392" s="15" t="n">
        <x:v>349</x:v>
      </x:c>
      <x:c r="T392" s="15" t="n">
        <x:v>475</x:v>
      </x:c>
      <x:c r="U392" s="15" t="n">
        <x:v>316</x:v>
      </x:c>
      <x:c r="V392" s="15" t="n">
        <x:v>528</x:v>
      </x:c>
      <x:c r="W392" s="15" t="n">
        <x:v>440</x:v>
      </x:c>
      <x:c r="X392" s="15" t="n">
        <x:v>1568</x:v>
      </x:c>
      <x:c r="Y392" s="15" t="n">
        <x:v>1378</x:v>
      </x:c>
      <x:c r="Z392" s="15" t="n">
        <x:v>891</x:v>
      </x:c>
      <x:c r="AA392" s="15" t="n">
        <x:v>619</x:v>
      </x:c>
      <x:c r="AB392" s="15" t="n">
        <x:v>320</x:v>
      </x:c>
      <x:c r="AC392" s="15" t="n">
        <x:v>335</x:v>
      </x:c>
      <x:c r="AD392" s="15" t="n">
        <x:v>580</x:v>
      </x:c>
      <x:c r="AE392" s="15" t="n">
        <x:v>431</x:v>
      </x:c>
      <x:c r="AF392" s="15" t="n">
        <x:v>3576</x:v>
      </x:c>
      <x:c r="AG392" s="15" t="n">
        <x:v>1494</x:v>
      </x:c>
      <x:c r="AH392" s="15" t="n">
        <x:v>3155</x:v>
      </x:c>
      <x:c r="AI392" s="15" t="n">
        <x:v>1885</x:v>
      </x:c>
    </x:row>
    <x:row r="393" ht="22" customHeight="1">
      <x:c r="A393" s="1" t="str">
        <x:v>310M700US48700</x:v>
      </x:c>
      <x:c r="B393" s="1" t="str">
        <x:v>48700</x:v>
      </x:c>
      <x:c r="C393" s="1" t="str">
        <x:v>Williamsport, PA Metro Area</x:v>
      </x:c>
      <x:c r="D393" s="5" t="n">
        <x:v>2024</x:v>
      </x:c>
      <x:c r="E393" s="1" t="str">
        <x:v>ok</x:v>
      </x:c>
      <x:c r="F393" s="15" t="n">
        <x:v>14700</x:v>
      </x:c>
      <x:c r="G393" s="15" t="n">
        <x:v>1715</x:v>
      </x:c>
      <x:c r="H393" s="15" t="n">
        <x:v>12985</x:v>
      </x:c>
      <x:c r="I393" s="15" t="n">
        <x:v>6922</x:v>
      </x:c>
      <x:c r="J393" s="15" t="n">
        <x:v>4282</x:v>
      </x:c>
      <x:c r="K393" s="15" t="n">
        <x:v>53.307663</x:v>
      </x:c>
      <x:c r="L393" s="15" t="n">
        <x:v>32.976511</x:v>
      </x:c>
      <x:c r="M393" s="15" t="n">
        <x:v>11.666667</x:v>
      </x:c>
      <x:c r="N393" s="15" t="n">
        <x:v>14700</x:v>
      </x:c>
      <x:c r="O393" s="15" t="n">
        <x:v>1438</x:v>
      </x:c>
      <x:c r="P393" s="15" t="n">
        <x:v>72</x:v>
      </x:c>
      <x:c r="Q393" s="15" t="n">
        <x:v>77</x:v>
      </x:c>
      <x:c r="R393" s="15" t="n">
        <x:v>912</x:v>
      </x:c>
      <x:c r="S393" s="15" t="n">
        <x:v>405</x:v>
      </x:c>
      <x:c r="T393" s="15" t="n">
        <x:v>1578</x:v>
      </x:c>
      <x:c r="U393" s="15" t="n">
        <x:v>594</x:v>
      </x:c>
      <x:c r="V393" s="15" t="n">
        <x:v>1406</x:v>
      </x:c>
      <x:c r="W393" s="15" t="n">
        <x:v>691</x:v>
      </x:c>
      <x:c r="X393" s="15" t="n">
        <x:v>2095</x:v>
      </x:c>
      <x:c r="Y393" s="15" t="n">
        <x:v>833</x:v>
      </x:c>
      <x:c r="Z393" s="15" t="n">
        <x:v>667</x:v>
      </x:c>
      <x:c r="AA393" s="15" t="n">
        <x:v>358</x:v>
      </x:c>
      <x:c r="AB393" s="15" t="n">
        <x:v>643</x:v>
      </x:c>
      <x:c r="AC393" s="15" t="n">
        <x:v>368</x:v>
      </x:c>
      <x:c r="AD393" s="15" t="n">
        <x:v>1330</x:v>
      </x:c>
      <x:c r="AE393" s="15" t="n">
        <x:v>594</x:v>
      </x:c>
      <x:c r="AF393" s="15" t="n">
        <x:v>4282</x:v>
      </x:c>
      <x:c r="AG393" s="15" t="n">
        <x:v>1310</x:v>
      </x:c>
      <x:c r="AH393" s="15" t="n">
        <x:v>1715</x:v>
      </x:c>
      <x:c r="AI393" s="15" t="n">
        <x:v>792</x:v>
      </x:c>
    </x:row>
    <x:row r="394" ht="22" customHeight="1">
      <x:c r="A394" s="1" t="str">
        <x:v>310M700US48900</x:v>
      </x:c>
      <x:c r="B394" s="1" t="str">
        <x:v>48900</x:v>
      </x:c>
      <x:c r="C394" s="1" t="str">
        <x:v>Wilmington, NC Metro Area</x:v>
      </x:c>
      <x:c r="D394" s="5" t="n">
        <x:v>2024</x:v>
      </x:c>
      <x:c r="E394" s="1" t="str">
        <x:v>ok</x:v>
      </x:c>
      <x:c r="F394" s="15" t="n">
        <x:v>54320</x:v>
      </x:c>
      <x:c r="G394" s="15" t="n">
        <x:v>2877</x:v>
      </x:c>
      <x:c r="H394" s="15" t="n">
        <x:v>51443</x:v>
      </x:c>
      <x:c r="I394" s="15" t="n">
        <x:v>29232</x:v>
      </x:c>
      <x:c r="J394" s="15" t="n">
        <x:v>16194</x:v>
      </x:c>
      <x:c r="K394" s="15" t="n">
        <x:v>56.824058</x:v>
      </x:c>
      <x:c r="L394" s="15" t="n">
        <x:v>31.479502</x:v>
      </x:c>
      <x:c r="M394" s="15" t="n">
        <x:v>5.296392</x:v>
      </x:c>
      <x:c r="N394" s="15" t="n">
        <x:v>54320</x:v>
      </x:c>
      <x:c r="O394" s="15" t="n">
        <x:v>3356</x:v>
      </x:c>
      <x:c r="P394" s="15" t="n">
        <x:v>1726</x:v>
      </x:c>
      <x:c r="Q394" s="15" t="n">
        <x:v>886</x:v>
      </x:c>
      <x:c r="R394" s="15" t="n">
        <x:v>2580</x:v>
      </x:c>
      <x:c r="S394" s="15" t="n">
        <x:v>1226</x:v>
      </x:c>
      <x:c r="T394" s="15" t="n">
        <x:v>4949</x:v>
      </x:c>
      <x:c r="U394" s="15" t="n">
        <x:v>1241</x:v>
      </x:c>
      <x:c r="V394" s="15" t="n">
        <x:v>5273</x:v>
      </x:c>
      <x:c r="W394" s="15" t="n">
        <x:v>1218</x:v>
      </x:c>
      <x:c r="X394" s="15" t="n">
        <x:v>7683</x:v>
      </x:c>
      <x:c r="Y394" s="15" t="n">
        <x:v>1829</x:v>
      </x:c>
      <x:c r="Z394" s="15" t="n">
        <x:v>4012</x:v>
      </x:c>
      <x:c r="AA394" s="15" t="n">
        <x:v>1528</x:v>
      </x:c>
      <x:c r="AB394" s="15" t="n">
        <x:v>3618</x:v>
      </x:c>
      <x:c r="AC394" s="15" t="n">
        <x:v>1247</x:v>
      </x:c>
      <x:c r="AD394" s="15" t="n">
        <x:v>5408</x:v>
      </x:c>
      <x:c r="AE394" s="15" t="n">
        <x:v>1543</x:v>
      </x:c>
      <x:c r="AF394" s="15" t="n">
        <x:v>16194</x:v>
      </x:c>
      <x:c r="AG394" s="15" t="n">
        <x:v>2484</x:v>
      </x:c>
      <x:c r="AH394" s="15" t="n">
        <x:v>2877</x:v>
      </x:c>
      <x:c r="AI394" s="15" t="n">
        <x:v>1016</x:v>
      </x:c>
    </x:row>
    <x:row r="395" ht="22" customHeight="1">
      <x:c r="A395" s="1" t="str">
        <x:v>310M700US49020</x:v>
      </x:c>
      <x:c r="B395" s="1" t="str">
        <x:v>49020</x:v>
      </x:c>
      <x:c r="C395" s="1" t="str">
        <x:v>Winchester, VA-WV Metro Area</x:v>
      </x:c>
      <x:c r="D395" s="5" t="n">
        <x:v>2024</x:v>
      </x:c>
      <x:c r="E395" s="1" t="str">
        <x:v>ok</x:v>
      </x:c>
      <x:c r="F395" s="15" t="n">
        <x:v>14165</x:v>
      </x:c>
      <x:c r="G395" s="15" t="n">
        <x:v>863</x:v>
      </x:c>
      <x:c r="H395" s="15" t="n">
        <x:v>13302</x:v>
      </x:c>
      <x:c r="I395" s="15" t="n">
        <x:v>6384</x:v>
      </x:c>
      <x:c r="J395" s="15" t="n">
        <x:v>2406</x:v>
      </x:c>
      <x:c r="K395" s="15" t="n">
        <x:v>47.992783</x:v>
      </x:c>
      <x:c r="L395" s="15" t="n">
        <x:v>18.087506</x:v>
      </x:c>
      <x:c r="M395" s="15" t="n">
        <x:v>6.092481</x:v>
      </x:c>
      <x:c r="N395" s="15" t="n">
        <x:v>14165</x:v>
      </x:c>
      <x:c r="O395" s="15" t="n">
        <x:v>1982</x:v>
      </x:c>
      <x:c r="P395" s="15" t="n">
        <x:v>764</x:v>
      </x:c>
      <x:c r="Q395" s="15" t="n">
        <x:v>639</x:v>
      </x:c>
      <x:c r="R395" s="15" t="n">
        <x:v>922</x:v>
      </x:c>
      <x:c r="S395" s="15" t="n">
        <x:v>546</x:v>
      </x:c>
      <x:c r="T395" s="15" t="n">
        <x:v>1711</x:v>
      </x:c>
      <x:c r="U395" s="15" t="n">
        <x:v>775</x:v>
      </x:c>
      <x:c r="V395" s="15" t="n">
        <x:v>1734</x:v>
      </x:c>
      <x:c r="W395" s="15" t="n">
        <x:v>812</x:v>
      </x:c>
      <x:c r="X395" s="15" t="n">
        <x:v>1787</x:v>
      </x:c>
      <x:c r="Y395" s="15" t="n">
        <x:v>748</x:v>
      </x:c>
      <x:c r="Z395" s="15" t="n">
        <x:v>1705</x:v>
      </x:c>
      <x:c r="AA395" s="15" t="n">
        <x:v>738</x:v>
      </x:c>
      <x:c r="AB395" s="15" t="n">
        <x:v>660</x:v>
      </x:c>
      <x:c r="AC395" s="15" t="n">
        <x:v>469</x:v>
      </x:c>
      <x:c r="AD395" s="15" t="n">
        <x:v>1613</x:v>
      </x:c>
      <x:c r="AE395" s="15" t="n">
        <x:v>895</x:v>
      </x:c>
      <x:c r="AF395" s="15" t="n">
        <x:v>2406</x:v>
      </x:c>
      <x:c r="AG395" s="15" t="n">
        <x:v>1014</x:v>
      </x:c>
      <x:c r="AH395" s="15" t="n">
        <x:v>863</x:v>
      </x:c>
      <x:c r="AI395" s="15" t="n">
        <x:v>474</x:v>
      </x:c>
    </x:row>
    <x:row r="396" ht="22" customHeight="1">
      <x:c r="A396" s="1" t="str">
        <x:v>310M700US49180</x:v>
      </x:c>
      <x:c r="B396" s="1" t="str">
        <x:v>49180</x:v>
      </x:c>
      <x:c r="C396" s="1" t="str">
        <x:v>Winston-Salem, NC Metro Area</x:v>
      </x:c>
      <x:c r="D396" s="5" t="n">
        <x:v>2024</x:v>
      </x:c>
      <x:c r="E396" s="1" t="str">
        <x:v>ok</x:v>
      </x:c>
      <x:c r="F396" s="15" t="n">
        <x:v>89226</x:v>
      </x:c>
      <x:c r="G396" s="15" t="n">
        <x:v>7495</x:v>
      </x:c>
      <x:c r="H396" s="15" t="n">
        <x:v>81731</x:v>
      </x:c>
      <x:c r="I396" s="15" t="n">
        <x:v>46048</x:v>
      </x:c>
      <x:c r="J396" s="15" t="n">
        <x:v>23371</x:v>
      </x:c>
      <x:c r="K396" s="15" t="n">
        <x:v>56.340923</x:v>
      </x:c>
      <x:c r="L396" s="15" t="n">
        <x:v>28.595025</x:v>
      </x:c>
      <x:c r="M396" s="15" t="n">
        <x:v>8.400018</x:v>
      </x:c>
      <x:c r="N396" s="15" t="n">
        <x:v>89226</x:v>
      </x:c>
      <x:c r="O396" s="15" t="n">
        <x:v>4529</x:v>
      </x:c>
      <x:c r="P396" s="15" t="n">
        <x:v>2246</x:v>
      </x:c>
      <x:c r="Q396" s="15" t="n">
        <x:v>898</x:v>
      </x:c>
      <x:c r="R396" s="15" t="n">
        <x:v>7452</x:v>
      </x:c>
      <x:c r="S396" s="15" t="n">
        <x:v>1632</x:v>
      </x:c>
      <x:c r="T396" s="15" t="n">
        <x:v>9231</x:v>
      </x:c>
      <x:c r="U396" s="15" t="n">
        <x:v>1879</x:v>
      </x:c>
      <x:c r="V396" s="15" t="n">
        <x:v>9275</x:v>
      </x:c>
      <x:c r="W396" s="15" t="n">
        <x:v>1996</x:v>
      </x:c>
      <x:c r="X396" s="15" t="n">
        <x:v>7479</x:v>
      </x:c>
      <x:c r="Y396" s="15" t="n">
        <x:v>1799</x:v>
      </x:c>
      <x:c r="Z396" s="15" t="n">
        <x:v>8680</x:v>
      </x:c>
      <x:c r="AA396" s="15" t="n">
        <x:v>2052</x:v>
      </x:c>
      <x:c r="AB396" s="15" t="n">
        <x:v>6870</x:v>
      </x:c>
      <x:c r="AC396" s="15" t="n">
        <x:v>2133</x:v>
      </x:c>
      <x:c r="AD396" s="15" t="n">
        <x:v>7127</x:v>
      </x:c>
      <x:c r="AE396" s="15" t="n">
        <x:v>2112</x:v>
      </x:c>
      <x:c r="AF396" s="15" t="n">
        <x:v>23371</x:v>
      </x:c>
      <x:c r="AG396" s="15" t="n">
        <x:v>2675</x:v>
      </x:c>
      <x:c r="AH396" s="15" t="n">
        <x:v>7495</x:v>
      </x:c>
      <x:c r="AI396" s="15" t="n">
        <x:v>1531</x:v>
      </x:c>
    </x:row>
    <x:row r="397" ht="22" customHeight="1">
      <x:c r="A397" s="1" t="str">
        <x:v>310M700US49340</x:v>
      </x:c>
      <x:c r="B397" s="1" t="str">
        <x:v>49340</x:v>
      </x:c>
      <x:c r="C397" s="1" t="str">
        <x:v>Worcester, MA Metro Area</x:v>
      </x:c>
      <x:c r="D397" s="5" t="n">
        <x:v>2024</x:v>
      </x:c>
      <x:c r="E397" s="1" t="str">
        <x:v>ok</x:v>
      </x:c>
      <x:c r="F397" s="15" t="n">
        <x:v>117632</x:v>
      </x:c>
      <x:c r="G397" s="15" t="n">
        <x:v>5715</x:v>
      </x:c>
      <x:c r="H397" s="15" t="n">
        <x:v>111917</x:v>
      </x:c>
      <x:c r="I397" s="15" t="n">
        <x:v>59907</x:v>
      </x:c>
      <x:c r="J397" s="15" t="n">
        <x:v>31043</x:v>
      </x:c>
      <x:c r="K397" s="15" t="n">
        <x:v>53.528061</x:v>
      </x:c>
      <x:c r="L397" s="15" t="n">
        <x:v>27.73752</x:v>
      </x:c>
      <x:c r="M397" s="15" t="n">
        <x:v>4.858372</x:v>
      </x:c>
      <x:c r="N397" s="15" t="n">
        <x:v>117632</x:v>
      </x:c>
      <x:c r="O397" s="15" t="n">
        <x:v>5097</x:v>
      </x:c>
      <x:c r="P397" s="15" t="n">
        <x:v>5017</x:v>
      </x:c>
      <x:c r="Q397" s="15" t="n">
        <x:v>1697</x:v>
      </x:c>
      <x:c r="R397" s="15" t="n">
        <x:v>7535</x:v>
      </x:c>
      <x:c r="S397" s="15" t="n">
        <x:v>1840</x:v>
      </x:c>
      <x:c r="T397" s="15" t="n">
        <x:v>11195</x:v>
      </x:c>
      <x:c r="U397" s="15" t="n">
        <x:v>2416</x:v>
      </x:c>
      <x:c r="V397" s="15" t="n">
        <x:v>16134</x:v>
      </x:c>
      <x:c r="W397" s="15" t="n">
        <x:v>2662</x:v>
      </x:c>
      <x:c r="X397" s="15" t="n">
        <x:v>12129</x:v>
      </x:c>
      <x:c r="Y397" s="15" t="n">
        <x:v>2432</x:v>
      </x:c>
      <x:c r="Z397" s="15" t="n">
        <x:v>13340</x:v>
      </x:c>
      <x:c r="AA397" s="15" t="n">
        <x:v>2432</x:v>
      </x:c>
      <x:c r="AB397" s="15" t="n">
        <x:v>7145</x:v>
      </x:c>
      <x:c r="AC397" s="15" t="n">
        <x:v>1612</x:v>
      </x:c>
      <x:c r="AD397" s="15" t="n">
        <x:v>8379</x:v>
      </x:c>
      <x:c r="AE397" s="15" t="n">
        <x:v>1606</x:v>
      </x:c>
      <x:c r="AF397" s="15" t="n">
        <x:v>31043</x:v>
      </x:c>
      <x:c r="AG397" s="15" t="n">
        <x:v>3837</x:v>
      </x:c>
      <x:c r="AH397" s="15" t="n">
        <x:v>5715</x:v>
      </x:c>
      <x:c r="AI397" s="15" t="n">
        <x:v>1546</x:v>
      </x:c>
    </x:row>
    <x:row r="398" ht="22" customHeight="1">
      <x:c r="A398" s="1" t="str">
        <x:v>310M700US49420</x:v>
      </x:c>
      <x:c r="B398" s="1" t="str">
        <x:v>49420</x:v>
      </x:c>
      <x:c r="C398" s="1" t="str">
        <x:v>Yakima, WA Metro Area</x:v>
      </x:c>
      <x:c r="D398" s="5" t="n">
        <x:v>2024</x:v>
      </x:c>
      <x:c r="E398" s="1" t="str">
        <x:v>ok</x:v>
      </x:c>
      <x:c r="F398" s="15" t="n">
        <x:v>36421</x:v>
      </x:c>
      <x:c r="G398" s="15" t="n">
        <x:v>3876</x:v>
      </x:c>
      <x:c r="H398" s="15" t="n">
        <x:v>32545</x:v>
      </x:c>
      <x:c r="I398" s="15" t="n">
        <x:v>13045</x:v>
      </x:c>
      <x:c r="J398" s="15" t="n">
        <x:v>6377</x:v>
      </x:c>
      <x:c r="K398" s="15" t="n">
        <x:v>40.082962</x:v>
      </x:c>
      <x:c r="L398" s="15" t="n">
        <x:v>19.594408</x:v>
      </x:c>
      <x:c r="M398" s="15" t="n">
        <x:v>10.642212</x:v>
      </x:c>
      <x:c r="N398" s="15" t="n">
        <x:v>36421</x:v>
      </x:c>
      <x:c r="O398" s="15" t="n">
        <x:v>2134</x:v>
      </x:c>
      <x:c r="P398" s="15" t="n">
        <x:v>1936</x:v>
      </x:c>
      <x:c r="Q398" s="15" t="n">
        <x:v>779</x:v>
      </x:c>
      <x:c r="R398" s="15" t="n">
        <x:v>3806</x:v>
      </x:c>
      <x:c r="S398" s="15" t="n">
        <x:v>1405</x:v>
      </x:c>
      <x:c r="T398" s="15" t="n">
        <x:v>4457</x:v>
      </x:c>
      <x:c r="U398" s="15" t="n">
        <x:v>1416</x:v>
      </x:c>
      <x:c r="V398" s="15" t="n">
        <x:v>5639</x:v>
      </x:c>
      <x:c r="W398" s="15" t="n">
        <x:v>1376</x:v>
      </x:c>
      <x:c r="X398" s="15" t="n">
        <x:v>3662</x:v>
      </x:c>
      <x:c r="Y398" s="15" t="n">
        <x:v>994</x:v>
      </x:c>
      <x:c r="Z398" s="15" t="n">
        <x:v>1272</x:v>
      </x:c>
      <x:c r="AA398" s="15" t="n">
        <x:v>515</x:v>
      </x:c>
      <x:c r="AB398" s="15" t="n">
        <x:v>2649</x:v>
      </x:c>
      <x:c r="AC398" s="15" t="n">
        <x:v>956</x:v>
      </x:c>
      <x:c r="AD398" s="15" t="n">
        <x:v>2747</x:v>
      </x:c>
      <x:c r="AE398" s="15" t="n">
        <x:v>1129</x:v>
      </x:c>
      <x:c r="AF398" s="15" t="n">
        <x:v>6377</x:v>
      </x:c>
      <x:c r="AG398" s="15" t="n">
        <x:v>1458</x:v>
      </x:c>
      <x:c r="AH398" s="15" t="n">
        <x:v>3876</x:v>
      </x:c>
      <x:c r="AI398" s="15" t="n">
        <x:v>1353</x:v>
      </x:c>
    </x:row>
    <x:row r="399" ht="22" customHeight="1">
      <x:c r="A399" s="1" t="str">
        <x:v>310M700US49620</x:v>
      </x:c>
      <x:c r="B399" s="1" t="str">
        <x:v>49620</x:v>
      </x:c>
      <x:c r="C399" s="1" t="str">
        <x:v>York-Hanover, PA Metro Area</x:v>
      </x:c>
      <x:c r="D399" s="5" t="n">
        <x:v>2024</x:v>
      </x:c>
      <x:c r="E399" s="1" t="str">
        <x:v>ok</x:v>
      </x:c>
      <x:c r="F399" s="15" t="n">
        <x:v>43685</x:v>
      </x:c>
      <x:c r="G399" s="15" t="n">
        <x:v>1950</x:v>
      </x:c>
      <x:c r="H399" s="15" t="n">
        <x:v>41735</x:v>
      </x:c>
      <x:c r="I399" s="15" t="n">
        <x:v>21979</x:v>
      </x:c>
      <x:c r="J399" s="15" t="n">
        <x:v>8865</x:v>
      </x:c>
      <x:c r="K399" s="15" t="n">
        <x:v>52.663232</x:v>
      </x:c>
      <x:c r="L399" s="15" t="n">
        <x:v>21.241164</x:v>
      </x:c>
      <x:c r="M399" s="15" t="n">
        <x:v>4.463775</x:v>
      </x:c>
      <x:c r="N399" s="15" t="n">
        <x:v>43685</x:v>
      </x:c>
      <x:c r="O399" s="15" t="n">
        <x:v>2765</x:v>
      </x:c>
      <x:c r="P399" s="15" t="n">
        <x:v>1578</x:v>
      </x:c>
      <x:c r="Q399" s="15" t="n">
        <x:v>784</x:v>
      </x:c>
      <x:c r="R399" s="15" t="n">
        <x:v>3974</x:v>
      </x:c>
      <x:c r="S399" s="15" t="n">
        <x:v>1153</x:v>
      </x:c>
      <x:c r="T399" s="15" t="n">
        <x:v>5334</x:v>
      </x:c>
      <x:c r="U399" s="15" t="n">
        <x:v>1258</x:v>
      </x:c>
      <x:c r="V399" s="15" t="n">
        <x:v>5003</x:v>
      </x:c>
      <x:c r="W399" s="15" t="n">
        <x:v>1316</x:v>
      </x:c>
      <x:c r="X399" s="15" t="n">
        <x:v>3867</x:v>
      </x:c>
      <x:c r="Y399" s="15" t="n">
        <x:v>996</x:v>
      </x:c>
      <x:c r="Z399" s="15" t="n">
        <x:v>3585</x:v>
      </x:c>
      <x:c r="AA399" s="15" t="n">
        <x:v>1144</x:v>
      </x:c>
      <x:c r="AB399" s="15" t="n">
        <x:v>5396</x:v>
      </x:c>
      <x:c r="AC399" s="15" t="n">
        <x:v>1753</x:v>
      </x:c>
      <x:c r="AD399" s="15" t="n">
        <x:v>4133</x:v>
      </x:c>
      <x:c r="AE399" s="15" t="n">
        <x:v>1478</x:v>
      </x:c>
      <x:c r="AF399" s="15" t="n">
        <x:v>8865</x:v>
      </x:c>
      <x:c r="AG399" s="15" t="n">
        <x:v>1816</x:v>
      </x:c>
      <x:c r="AH399" s="15" t="n">
        <x:v>1950</x:v>
      </x:c>
      <x:c r="AI399" s="15" t="n">
        <x:v>745</x:v>
      </x:c>
    </x:row>
    <x:row r="400" ht="22" customHeight="1">
      <x:c r="A400" s="1" t="str">
        <x:v>310M700US49660</x:v>
      </x:c>
      <x:c r="B400" s="1" t="str">
        <x:v>49660</x:v>
      </x:c>
      <x:c r="C400" s="1" t="str">
        <x:v>Youngstown-Warren, OH Metro Area</x:v>
      </x:c>
      <x:c r="D400" s="5" t="n">
        <x:v>2024</x:v>
      </x:c>
      <x:c r="E400" s="1" t="str">
        <x:v>ok</x:v>
      </x:c>
      <x:c r="F400" s="15" t="n">
        <x:v>54576</x:v>
      </x:c>
      <x:c r="G400" s="15" t="n">
        <x:v>5223</x:v>
      </x:c>
      <x:c r="H400" s="15" t="n">
        <x:v>49353</x:v>
      </x:c>
      <x:c r="I400" s="15" t="n">
        <x:v>25847</x:v>
      </x:c>
      <x:c r="J400" s="15" t="n">
        <x:v>13078</x:v>
      </x:c>
      <x:c r="K400" s="15" t="n">
        <x:v>52.37169</x:v>
      </x:c>
      <x:c r="L400" s="15" t="n">
        <x:v>26.498896</x:v>
      </x:c>
      <x:c r="M400" s="15" t="n">
        <x:v>9.570141</x:v>
      </x:c>
      <x:c r="N400" s="15" t="n">
        <x:v>54576</x:v>
      </x:c>
      <x:c r="O400" s="15" t="n">
        <x:v>3006</x:v>
      </x:c>
      <x:c r="P400" s="15" t="n">
        <x:v>2287</x:v>
      </x:c>
      <x:c r="Q400" s="15" t="n">
        <x:v>953</x:v>
      </x:c>
      <x:c r="R400" s="15" t="n">
        <x:v>4517</x:v>
      </x:c>
      <x:c r="S400" s="15" t="n">
        <x:v>1231</x:v>
      </x:c>
      <x:c r="T400" s="15" t="n">
        <x:v>5082</x:v>
      </x:c>
      <x:c r="U400" s="15" t="n">
        <x:v>1143</x:v>
      </x:c>
      <x:c r="V400" s="15" t="n">
        <x:v>5590</x:v>
      </x:c>
      <x:c r="W400" s="15" t="n">
        <x:v>1508</x:v>
      </x:c>
      <x:c r="X400" s="15" t="n">
        <x:v>6030</x:v>
      </x:c>
      <x:c r="Y400" s="15" t="n">
        <x:v>1493</x:v>
      </x:c>
      <x:c r="Z400" s="15" t="n">
        <x:v>4213</x:v>
      </x:c>
      <x:c r="AA400" s="15" t="n">
        <x:v>1308</x:v>
      </x:c>
      <x:c r="AB400" s="15" t="n">
        <x:v>3824</x:v>
      </x:c>
      <x:c r="AC400" s="15" t="n">
        <x:v>1549</x:v>
      </x:c>
      <x:c r="AD400" s="15" t="n">
        <x:v>4732</x:v>
      </x:c>
      <x:c r="AE400" s="15" t="n">
        <x:v>1435</x:v>
      </x:c>
      <x:c r="AF400" s="15" t="n">
        <x:v>13078</x:v>
      </x:c>
      <x:c r="AG400" s="15" t="n">
        <x:v>2077</x:v>
      </x:c>
      <x:c r="AH400" s="15" t="n">
        <x:v>5223</x:v>
      </x:c>
      <x:c r="AI400" s="15" t="n">
        <x:v>1464</x:v>
      </x:c>
    </x:row>
    <x:row r="401" ht="22" customHeight="1">
      <x:c r="A401" s="1" t="str">
        <x:v>310M700US49700</x:v>
      </x:c>
      <x:c r="B401" s="1" t="str">
        <x:v>49700</x:v>
      </x:c>
      <x:c r="C401" s="1" t="str">
        <x:v>Yuba City, CA Metro Area</x:v>
      </x:c>
      <x:c r="D401" s="5" t="n">
        <x:v>2024</x:v>
      </x:c>
      <x:c r="E401" s="1" t="str">
        <x:v>ok</x:v>
      </x:c>
      <x:c r="F401" s="15" t="n">
        <x:v>21141</x:v>
      </x:c>
      <x:c r="G401" s="15" t="n">
        <x:v>2598</x:v>
      </x:c>
      <x:c r="H401" s="15" t="n">
        <x:v>18543</x:v>
      </x:c>
      <x:c r="I401" s="15" t="n">
        <x:v>9696</x:v>
      </x:c>
      <x:c r="J401" s="15" t="n">
        <x:v>5136</x:v>
      </x:c>
      <x:c r="K401" s="15" t="n">
        <x:v>52.289274</x:v>
      </x:c>
      <x:c r="L401" s="15" t="n">
        <x:v>27.697784</x:v>
      </x:c>
      <x:c r="M401" s="15" t="n">
        <x:v>12.288917</x:v>
      </x:c>
      <x:c r="N401" s="15" t="n">
        <x:v>21141</x:v>
      </x:c>
      <x:c r="O401" s="15" t="n">
        <x:v>2423</x:v>
      </x:c>
      <x:c r="P401" s="15" t="n">
        <x:v>808</x:v>
      </x:c>
      <x:c r="Q401" s="15" t="n">
        <x:v>576</x:v>
      </x:c>
      <x:c r="R401" s="15" t="n">
        <x:v>1168</x:v>
      </x:c>
      <x:c r="S401" s="15" t="n">
        <x:v>608</x:v>
      </x:c>
      <x:c r="T401" s="15" t="n">
        <x:v>1421</x:v>
      </x:c>
      <x:c r="U401" s="15" t="n">
        <x:v>659</x:v>
      </x:c>
      <x:c r="V401" s="15" t="n">
        <x:v>1695</x:v>
      </x:c>
      <x:c r="W401" s="15" t="n">
        <x:v>756</x:v>
      </x:c>
      <x:c r="X401" s="15" t="n">
        <x:v>3755</x:v>
      </x:c>
      <x:c r="Y401" s="15" t="n">
        <x:v>1222</x:v>
      </x:c>
      <x:c r="Z401" s="15" t="n">
        <x:v>1253</x:v>
      </x:c>
      <x:c r="AA401" s="15" t="n">
        <x:v>509</x:v>
      </x:c>
      <x:c r="AB401" s="15" t="n">
        <x:v>1130</x:v>
      </x:c>
      <x:c r="AC401" s="15" t="n">
        <x:v>604</x:v>
      </x:c>
      <x:c r="AD401" s="15" t="n">
        <x:v>2177</x:v>
      </x:c>
      <x:c r="AE401" s="15" t="n">
        <x:v>999</x:v>
      </x:c>
      <x:c r="AF401" s="15" t="n">
        <x:v>5136</x:v>
      </x:c>
      <x:c r="AG401" s="15" t="n">
        <x:v>1535</x:v>
      </x:c>
      <x:c r="AH401" s="15" t="n">
        <x:v>2598</x:v>
      </x:c>
      <x:c r="AI401" s="15" t="n">
        <x:v>979</x:v>
      </x:c>
    </x:row>
    <x:row r="402" ht="22" customHeight="1">
      <x:c r="A402" s="1" t="str">
        <x:v>310M700US49740</x:v>
      </x:c>
      <x:c r="B402" s="1" t="str">
        <x:v>49740</x:v>
      </x:c>
      <x:c r="C402" s="1" t="str">
        <x:v>Yuma, AZ Metro Area</x:v>
      </x:c>
      <x:c r="D402" s="5" t="n">
        <x:v>2024</x:v>
      </x:c>
      <x:c r="E402" s="1" t="str">
        <x:v>ok</x:v>
      </x:c>
      <x:c r="F402" s="15" t="n">
        <x:v>22582</x:v>
      </x:c>
      <x:c r="G402" s="15" t="n">
        <x:v>3894</x:v>
      </x:c>
      <x:c r="H402" s="15" t="n">
        <x:v>18688</x:v>
      </x:c>
      <x:c r="I402" s="15" t="n">
        <x:v>8075</x:v>
      </x:c>
      <x:c r="J402" s="15" t="n">
        <x:v>4107</x:v>
      </x:c>
      <x:c r="K402" s="15" t="n">
        <x:v>43.209546</x:v>
      </x:c>
      <x:c r="L402" s="15" t="n">
        <x:v>21.97667</x:v>
      </x:c>
      <x:c r="M402" s="15" t="n">
        <x:v>17.243823</x:v>
      </x:c>
      <x:c r="N402" s="15" t="n">
        <x:v>22582</x:v>
      </x:c>
      <x:c r="O402" s="15" t="n">
        <x:v>2607</x:v>
      </x:c>
      <x:c r="P402" s="15" t="n">
        <x:v>2308</x:v>
      </x:c>
      <x:c r="Q402" s="15" t="n">
        <x:v>1626</x:v>
      </x:c>
      <x:c r="R402" s="15" t="n">
        <x:v>1424</x:v>
      </x:c>
      <x:c r="S402" s="15" t="n">
        <x:v>573</x:v>
      </x:c>
      <x:c r="T402" s="15" t="n">
        <x:v>2290</x:v>
      </x:c>
      <x:c r="U402" s="15" t="n">
        <x:v>1565</x:v>
      </x:c>
      <x:c r="V402" s="15" t="n">
        <x:v>1835</x:v>
      </x:c>
      <x:c r="W402" s="15" t="n">
        <x:v>893</x:v>
      </x:c>
      <x:c r="X402" s="15" t="n">
        <x:v>2756</x:v>
      </x:c>
      <x:c r="Y402" s="15" t="n">
        <x:v>1238</x:v>
      </x:c>
      <x:c r="Z402" s="15" t="n">
        <x:v>1351</x:v>
      </x:c>
      <x:c r="AA402" s="15" t="n">
        <x:v>1145</x:v>
      </x:c>
      <x:c r="AB402" s="15" t="n">
        <x:v>1982</x:v>
      </x:c>
      <x:c r="AC402" s="15" t="n">
        <x:v>1053</x:v>
      </x:c>
      <x:c r="AD402" s="15" t="n">
        <x:v>635</x:v>
      </x:c>
      <x:c r="AE402" s="15" t="n">
        <x:v>373</x:v>
      </x:c>
      <x:c r="AF402" s="15" t="n">
        <x:v>4107</x:v>
      </x:c>
      <x:c r="AG402" s="15" t="n">
        <x:v>1291</x:v>
      </x:c>
      <x:c r="AH402" s="15" t="n">
        <x:v>3894</x:v>
      </x:c>
      <x:c r="AI402" s="15" t="n">
        <x:v>1965</x:v>
      </x:c>
    </x:row>
  </x:sheetData>
  <x:pageMargins left="0.7" right="0.7" top="0.75" bottom="0.75" header="0.3" footer="0.3"/>
  <x:tableParts count="1">
    <x:tablePart xmlns:r="http://schemas.openxmlformats.org/officeDocument/2006/relationships" r:id="Rb8e9b242466349d1"/>
  </x:tableParts>
</x:worksheet>
</file>